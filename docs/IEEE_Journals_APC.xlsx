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icing rules" sheetId="2" state="visible" r:id="rId2"/>
    <sheet xmlns:r="http://schemas.openxmlformats.org/officeDocument/2006/relationships" name="Summary by track" sheetId="3" state="visible" r:id="rId3"/>
    <sheet xmlns:r="http://schemas.openxmlformats.org/officeDocument/2006/relationships" name="Journals" sheetId="4" state="visible" r:id="rId4"/>
    <sheet xmlns:r="http://schemas.openxmlformats.org/officeDocument/2006/relationships" name="Magazi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FF"/>
      <sz val="10"/>
    </font>
    <font>
      <name val="Arial"/>
      <color rgb="000563C1"/>
      <sz val="10"/>
      <u val="single"/>
    </font>
    <font>
      <name val="Arial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164" fontId="6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9" fontId="6" fillId="3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Journals" displayName="Journals" ref="A1:M175" headerRowCount="1">
  <autoFilter ref="A1:M175"/>
  <tableColumns count="13">
    <tableColumn id="1" name="Track"/>
    <tableColumn id="2" name="Journal"/>
    <tableColumn id="3" name="Acronym"/>
    <tableColumn id="4" name="Type"/>
    <tableColumn id="5" name="OA model"/>
    <tableColumn id="6" name="APC 2026 (US$)"/>
    <tableColumn id="7" name="APC for society member (US$)"/>
    <tableColumn id="8" name="Cost without OA"/>
    <tableColumn id="9" name="Avg. time to first decision"/>
    <tableColumn id="10" name="Decision-time source"/>
    <tableColumn id="11" name="Source link"/>
    <tableColumn id="12" name="Society"/>
    <tableColumn id="13" name="Notes"/>
  </tableColumns>
  <tableStyleInfo name="TableStyleLight9" showRowStripes="1"/>
</table>
</file>

<file path=xl/tables/table2.xml><?xml version="1.0" encoding="utf-8"?>
<table xmlns="http://schemas.openxmlformats.org/spreadsheetml/2006/main" id="2" name="Magazines" displayName="Magazines" ref="A1:M44" headerRowCount="1">
  <autoFilter ref="A1:M44"/>
  <tableColumns count="13">
    <tableColumn id="1" name="Track"/>
    <tableColumn id="2" name="Journal"/>
    <tableColumn id="3" name="Acronym"/>
    <tableColumn id="4" name="Type"/>
    <tableColumn id="5" name="OA model"/>
    <tableColumn id="6" name="APC 2026 (US$)"/>
    <tableColumn id="7" name="APC for society member (US$)"/>
    <tableColumn id="8" name="Cost without OA"/>
    <tableColumn id="9" name="Avg. time to first decision"/>
    <tableColumn id="10" name="Decision-time source"/>
    <tableColumn id="11" name="Source link"/>
    <tableColumn id="12" name="Society"/>
    <tableColumn id="13" name="Note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open.ieee.org/for-authors/article-processing-charges/" TargetMode="External" Id="rId1"/><Relationship Type="http://schemas.openxmlformats.org/officeDocument/2006/relationships/hyperlink" Target="https://journals.ieeeauthorcenter.ieee.org/wp-content/uploads/sites/7/2026-07-30-IEEE-Article-Processing-Charges-List.pdf" TargetMode="External" Id="rId2"/><Relationship Type="http://schemas.openxmlformats.org/officeDocument/2006/relationships/hyperlink" Target="https://ieee-aess.org/apc-open-access" TargetMode="External" Id="rId3"/><Relationship Type="http://schemas.openxmlformats.org/officeDocument/2006/relationships/hyperlink" Target="https://open.ieee.org/for-authors/ieee-low-and-lower-middle-income-country-open-access-discount-program/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scirev.org/journal/ieee-transactions-on-aerospace-and-electronic-systems/" TargetMode="External" Id="rId1"/><Relationship Type="http://schemas.openxmlformats.org/officeDocument/2006/relationships/hyperlink" Target="https://manusights.com/blog/average-review-times-100-journals-2026" TargetMode="External" Id="rId2"/><Relationship Type="http://schemas.openxmlformats.org/officeDocument/2006/relationships/hyperlink" Target="https://manusights.com/blog/average-review-times-100-journals-2026" TargetMode="External" Id="rId3"/><Relationship Type="http://schemas.openxmlformats.org/officeDocument/2006/relationships/hyperlink" Target="https://manusights.com/blog/ieee-transactions-on-wireless-communications-submission-guide" TargetMode="External" Id="rId4"/><Relationship Type="http://schemas.openxmlformats.org/officeDocument/2006/relationships/hyperlink" Target="https://www.comsoc.org/publications/journals/ieee-tnet/policies-guidelines" TargetMode="External" Id="rId5"/><Relationship Type="http://schemas.openxmlformats.org/officeDocument/2006/relationships/hyperlink" Target="https://manusights.com/blog/ieee-internet-of-things-journal-submission-guide" TargetMode="External" Id="rId6"/><Relationship Type="http://schemas.openxmlformats.org/officeDocument/2006/relationships/hyperlink" Target="https://ieeexplore.ieee.org/document/9689920/" TargetMode="External" Id="rId7"/><Relationship Type="http://schemas.openxmlformats.org/officeDocument/2006/relationships/hyperlink" Target="https://manusights.com/blog/ieee-transactions-on-signal-processing-submission-process" TargetMode="External" Id="rId8"/><Relationship Type="http://schemas.openxmlformats.org/officeDocument/2006/relationships/hyperlink" Target="https://scirev.org/journal/ieee-signal-processing-letters/" TargetMode="External" Id="rId9"/><Relationship Type="http://schemas.openxmlformats.org/officeDocument/2006/relationships/hyperlink" Target="https://manusights.com/blog/average-review-times-100-journals-2026" TargetMode="External" Id="rId10"/><Relationship Type="http://schemas.openxmlformats.org/officeDocument/2006/relationships/hyperlink" Target="https://signalprocessingsociety.org/publications-resources/ieee-open-journal-signal-processing/information-authors-ojsp" TargetMode="External" Id="rId11"/><Relationship Type="http://schemas.openxmlformats.org/officeDocument/2006/relationships/hyperlink" Target="https://cis.ieee.org/publications/ieee-transactions-on-artificial-intelligence/review-process" TargetMode="External" Id="rId12"/><Relationship Type="http://schemas.openxmlformats.org/officeDocument/2006/relationships/hyperlink" Target="https://manusights.com/blog/ieee-access-review-time" TargetMode="External" Id="rId13"/><Relationship Type="http://schemas.openxmlformats.org/officeDocument/2006/relationships/hyperlink" Target="https://ieeeaps.org/ieee-tap/for-authors/faqs" TargetMode="External" Id="rId14"/><Relationship Type="http://schemas.openxmlformats.org/officeDocument/2006/relationships/hyperlink" Target="https://manusights.com/blog/ieee-transactions-on-vehicular-technology-under-review" TargetMode="External" Id="rId15"/><Relationship Type="http://schemas.openxmlformats.org/officeDocument/2006/relationships/table" Target="/xl/tables/table1.xml" Id="rId16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IEEE journals — open-access model, APC 2026 and time to first decision</t>
        </is>
      </c>
    </row>
    <row r="2">
      <c r="A2" s="2" t="inlineStr">
        <is>
          <t>• Hybrid = subscription journal. Publishing is FREE unless you choose open access (then you pay the APC). Overlength page charges may still apply.</t>
        </is>
      </c>
    </row>
    <row r="3">
      <c r="A3" s="2" t="inlineStr">
        <is>
          <t>• Fully open access = every accepted article pays the APC. There is no free option (waivers exist for low-income countries).</t>
        </is>
      </c>
    </row>
    <row r="4">
      <c r="A4" s="2" t="inlineStr">
        <is>
          <t>• APCs are formulas that read the 'Pricing rules' sheet — change a blue cell there and every journal updates. A few titles have their own price (set in the data).</t>
        </is>
      </c>
    </row>
    <row r="5">
      <c r="A5" s="2" t="inlineStr">
        <is>
          <t>• Decision times: IEEE does not publish a time to first decision for most journals. Figures appear only where an IEEE society or a named source gives one; the source type is shown next to it.</t>
        </is>
      </c>
    </row>
    <row r="6">
      <c r="A6" s="2" t="inlineStr">
        <is>
          <t>• Red notes: open-access model not confirmed in 2026 sources — check the journal's author page.</t>
        </is>
      </c>
    </row>
    <row r="7">
      <c r="A7" s="3" t="inlineStr">
        <is>
          <t>Generated from data/journals.yml in github.com/aionndc22/ieee-conference-deadlines — contributions welcome. Not affiliated with IEEE.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0" customWidth="1" min="3" max="3"/>
    <col width="80" customWidth="1" min="4" max="4"/>
  </cols>
  <sheetData>
    <row r="1">
      <c r="A1" s="4" t="inlineStr">
        <is>
          <t>IEEE open-access pricing — 2026 submissions (last checked 2026-10-16)</t>
        </is>
      </c>
    </row>
    <row r="2">
      <c r="A2" s="5" t="inlineStr">
        <is>
          <t>Blue cells are inputs; the Journals sheet recalculates from them.</t>
        </is>
      </c>
    </row>
    <row r="3">
      <c r="A3" s="6" t="inlineStr">
        <is>
          <t>Publishing model</t>
        </is>
      </c>
      <c r="B3" s="6" t="inlineStr">
        <is>
          <t>APC 2026 (US$)</t>
        </is>
      </c>
      <c r="C3" s="6" t="inlineStr">
        <is>
          <t>If you don't choose open access</t>
        </is>
      </c>
      <c r="D3" s="6" t="inlineStr">
        <is>
          <t>What it means</t>
        </is>
      </c>
    </row>
    <row r="4">
      <c r="A4" s="7" t="inlineStr">
        <is>
          <t>Hybrid</t>
        </is>
      </c>
      <c r="B4" s="8" t="n">
        <v>2800</v>
      </c>
      <c r="C4" s="2" t="inlineStr">
        <is>
          <t>Free (overlength page charges may apply)</t>
        </is>
      </c>
      <c r="D4" s="2" t="inlineStr">
        <is>
          <t>Subscription journal. Publishing is free unless you choose open access; mandatory overlength page charges may apply.</t>
        </is>
      </c>
    </row>
    <row r="5">
      <c r="A5" s="7" t="inlineStr">
        <is>
          <t>Fully open access</t>
        </is>
      </c>
      <c r="B5" s="8" t="n">
        <v>2160</v>
      </c>
      <c r="C5" s="2" t="inlineStr">
        <is>
          <t>Not available — OA only</t>
        </is>
      </c>
      <c r="D5" s="2" t="inlineStr">
        <is>
          <t>Gold open access: every accepted article pays the APC. Standard rate for most fully OA titles; a few titles differ.</t>
        </is>
      </c>
    </row>
    <row r="6">
      <c r="A6" s="7" t="inlineStr">
        <is>
          <t>Hybrid magazine</t>
        </is>
      </c>
      <c r="B6" s="8" t="n">
        <v>2995</v>
      </c>
      <c r="C6" s="2" t="inlineStr">
        <is>
          <t>Free (most articles are invited)</t>
        </is>
      </c>
      <c r="D6" s="2" t="inlineStr">
        <is>
          <t>Magazine with an optional open-access fee (most magazines).</t>
        </is>
      </c>
    </row>
    <row r="7">
      <c r="A7" s="9" t="n"/>
      <c r="B7" s="9" t="n"/>
      <c r="C7" s="9" t="n"/>
      <c r="D7" s="9" t="n"/>
    </row>
    <row r="8">
      <c r="A8" s="7" t="inlineStr">
        <is>
          <t>Discounts</t>
        </is>
      </c>
      <c r="B8" s="9" t="n"/>
      <c r="C8" s="9" t="n"/>
      <c r="D8" s="9" t="n"/>
    </row>
    <row r="9">
      <c r="A9" s="2" t="inlineStr">
        <is>
          <t>IEEE member discount</t>
        </is>
      </c>
      <c r="B9" s="10" t="n">
        <v>0.05</v>
      </c>
      <c r="C9" s="9" t="n"/>
      <c r="D9" s="9" t="n"/>
    </row>
    <row r="10">
      <c r="A10" s="2" t="inlineStr">
        <is>
          <t>IEEE Society member discount</t>
        </is>
      </c>
      <c r="B10" s="10" t="n">
        <v>0.2</v>
      </c>
      <c r="C10" s="2" t="inlineStr">
        <is>
          <t>Discounts do not stack; students excluded.</t>
        </is>
      </c>
      <c r="D10" s="9" t="n"/>
    </row>
    <row r="12">
      <c r="A12" s="11" t="inlineStr">
        <is>
          <t>Sources</t>
        </is>
      </c>
    </row>
    <row r="13">
      <c r="A13" s="12" t="inlineStr">
        <is>
          <t>https://open.ieee.org/for-authors/article-processing-charges/</t>
        </is>
      </c>
    </row>
    <row r="14">
      <c r="A14" s="12" t="inlineStr">
        <is>
          <t>https://journals.ieeeauthorcenter.ieee.org/wp-content/uploads/sites/7/2026-07-30-IEEE-Article-Processing-Charges-List.pdf</t>
        </is>
      </c>
    </row>
    <row r="15">
      <c r="A15" s="12" t="inlineStr">
        <is>
          <t>https://ieee-aess.org/apc-open-access</t>
        </is>
      </c>
    </row>
    <row r="16">
      <c r="A16" s="12" t="inlineStr">
        <is>
          <t>https://open.ieee.org/for-authors/ieee-low-and-lower-middle-income-country-open-access-discount-program/</t>
        </is>
      </c>
    </row>
  </sheetData>
  <hyperlinks>
    <hyperlink xmlns:r="http://schemas.openxmlformats.org/officeDocument/2006/relationships" ref="A13" r:id="rId1"/>
    <hyperlink xmlns:r="http://schemas.openxmlformats.org/officeDocument/2006/relationships" ref="A14" r:id="rId2"/>
    <hyperlink xmlns:r="http://schemas.openxmlformats.org/officeDocument/2006/relationships" ref="A15" r:id="rId3"/>
    <hyperlink xmlns:r="http://schemas.openxmlformats.org/officeDocument/2006/relationships" ref="A16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8" customWidth="1" min="4" max="4"/>
    <col width="26" customWidth="1" min="5" max="5"/>
  </cols>
  <sheetData>
    <row r="1">
      <c r="A1" s="4" t="inlineStr">
        <is>
          <t>IEEE journals by track — counts by publishing model</t>
        </is>
      </c>
    </row>
    <row r="3">
      <c r="A3" s="6" t="inlineStr">
        <is>
          <t>Track</t>
        </is>
      </c>
      <c r="B3" s="6" t="inlineStr">
        <is>
          <t>Journals</t>
        </is>
      </c>
      <c r="C3" s="6" t="inlineStr">
        <is>
          <t>Hybrid</t>
        </is>
      </c>
      <c r="D3" s="6" t="inlineStr">
        <is>
          <t>Fully open access</t>
        </is>
      </c>
      <c r="E3" s="6" t="inlineStr">
        <is>
          <t>With a decision-time figure</t>
        </is>
      </c>
    </row>
    <row r="4">
      <c r="A4" s="13" t="inlineStr">
        <is>
          <t>Aerospace, Radar &amp; Navigation</t>
        </is>
      </c>
      <c r="B4" s="13">
        <f>COUNTIF(Journals!$A$2:$A$175,A4)</f>
        <v/>
      </c>
      <c r="C4" s="13">
        <f>COUNTIFS(Journals!$A$2:$A$175,A4,Journals!$E$2:$E$175,"Hybrid")</f>
        <v/>
      </c>
      <c r="D4" s="13">
        <f>COUNTIFS(Journals!$A$2:$A$175,A4,Journals!$E$2:$E$175,"Fully open access")</f>
        <v/>
      </c>
      <c r="E4" s="13">
        <f>COUNTIFS(Journals!$A$2:$A$175,A4,Journals!$I$2:$I$175,"&lt;&gt;Not published")</f>
        <v/>
      </c>
    </row>
    <row r="5">
      <c r="A5" s="13" t="inlineStr">
        <is>
          <t>Communications &amp; Networking</t>
        </is>
      </c>
      <c r="B5" s="13">
        <f>COUNTIF(Journals!$A$2:$A$175,A5)</f>
        <v/>
      </c>
      <c r="C5" s="13">
        <f>COUNTIFS(Journals!$A$2:$A$175,A5,Journals!$E$2:$E$175,"Hybrid")</f>
        <v/>
      </c>
      <c r="D5" s="13">
        <f>COUNTIFS(Journals!$A$2:$A$175,A5,Journals!$E$2:$E$175,"Fully open access")</f>
        <v/>
      </c>
      <c r="E5" s="13">
        <f>COUNTIFS(Journals!$A$2:$A$175,A5,Journals!$I$2:$I$175,"&lt;&gt;Not published")</f>
        <v/>
      </c>
    </row>
    <row r="6">
      <c r="A6" s="13" t="inlineStr">
        <is>
          <t>Signal, Image &amp; Speech Processing</t>
        </is>
      </c>
      <c r="B6" s="13">
        <f>COUNTIF(Journals!$A$2:$A$175,A6)</f>
        <v/>
      </c>
      <c r="C6" s="13">
        <f>COUNTIFS(Journals!$A$2:$A$175,A6,Journals!$E$2:$E$175,"Hybrid")</f>
        <v/>
      </c>
      <c r="D6" s="13">
        <f>COUNTIFS(Journals!$A$2:$A$175,A6,Journals!$E$2:$E$175,"Fully open access")</f>
        <v/>
      </c>
      <c r="E6" s="13">
        <f>COUNTIFS(Journals!$A$2:$A$175,A6,Journals!$I$2:$I$175,"&lt;&gt;Not published")</f>
        <v/>
      </c>
    </row>
    <row r="7">
      <c r="A7" s="13" t="inlineStr">
        <is>
          <t>AI, Computing &amp; Software</t>
        </is>
      </c>
      <c r="B7" s="13">
        <f>COUNTIF(Journals!$A$2:$A$175,A7)</f>
        <v/>
      </c>
      <c r="C7" s="13">
        <f>COUNTIFS(Journals!$A$2:$A$175,A7,Journals!$E$2:$E$175,"Hybrid")</f>
        <v/>
      </c>
      <c r="D7" s="13">
        <f>COUNTIFS(Journals!$A$2:$A$175,A7,Journals!$E$2:$E$175,"Fully open access")</f>
        <v/>
      </c>
      <c r="E7" s="13">
        <f>COUNTIFS(Journals!$A$2:$A$175,A7,Journals!$I$2:$I$175,"&lt;&gt;Not published")</f>
        <v/>
      </c>
    </row>
    <row r="8">
      <c r="A8" s="13" t="inlineStr">
        <is>
          <t>Antennas, Microwaves &amp; EM</t>
        </is>
      </c>
      <c r="B8" s="13">
        <f>COUNTIF(Journals!$A$2:$A$175,A8)</f>
        <v/>
      </c>
      <c r="C8" s="13">
        <f>COUNTIFS(Journals!$A$2:$A$175,A8,Journals!$E$2:$E$175,"Hybrid")</f>
        <v/>
      </c>
      <c r="D8" s="13">
        <f>COUNTIFS(Journals!$A$2:$A$175,A8,Journals!$E$2:$E$175,"Fully open access")</f>
        <v/>
      </c>
      <c r="E8" s="13">
        <f>COUNTIFS(Journals!$A$2:$A$175,A8,Journals!$I$2:$I$175,"&lt;&gt;Not published")</f>
        <v/>
      </c>
    </row>
    <row r="9">
      <c r="A9" s="13" t="inlineStr">
        <is>
          <t>Photonics, Quantum &amp; Plasma</t>
        </is>
      </c>
      <c r="B9" s="13">
        <f>COUNTIF(Journals!$A$2:$A$175,A9)</f>
        <v/>
      </c>
      <c r="C9" s="13">
        <f>COUNTIFS(Journals!$A$2:$A$175,A9,Journals!$E$2:$E$175,"Hybrid")</f>
        <v/>
      </c>
      <c r="D9" s="13">
        <f>COUNTIFS(Journals!$A$2:$A$175,A9,Journals!$E$2:$E$175,"Fully open access")</f>
        <v/>
      </c>
      <c r="E9" s="13">
        <f>COUNTIFS(Journals!$A$2:$A$175,A9,Journals!$I$2:$I$175,"&lt;&gt;Not published")</f>
        <v/>
      </c>
    </row>
    <row r="10">
      <c r="A10" s="13" t="inlineStr">
        <is>
          <t>Geoscience, Remote Sensing &amp; Ocean</t>
        </is>
      </c>
      <c r="B10" s="13">
        <f>COUNTIF(Journals!$A$2:$A$175,A10)</f>
        <v/>
      </c>
      <c r="C10" s="13">
        <f>COUNTIFS(Journals!$A$2:$A$175,A10,Journals!$E$2:$E$175,"Hybrid")</f>
        <v/>
      </c>
      <c r="D10" s="13">
        <f>COUNTIFS(Journals!$A$2:$A$175,A10,Journals!$E$2:$E$175,"Fully open access")</f>
        <v/>
      </c>
      <c r="E10" s="13">
        <f>COUNTIFS(Journals!$A$2:$A$175,A10,Journals!$I$2:$I$175,"&lt;&gt;Not published")</f>
        <v/>
      </c>
    </row>
    <row r="11">
      <c r="A11" s="13" t="inlineStr">
        <is>
          <t>Circuits, Devices &amp; Semiconductors</t>
        </is>
      </c>
      <c r="B11" s="13">
        <f>COUNTIF(Journals!$A$2:$A$175,A11)</f>
        <v/>
      </c>
      <c r="C11" s="13">
        <f>COUNTIFS(Journals!$A$2:$A$175,A11,Journals!$E$2:$E$175,"Hybrid")</f>
        <v/>
      </c>
      <c r="D11" s="13">
        <f>COUNTIFS(Journals!$A$2:$A$175,A11,Journals!$E$2:$E$175,"Fully open access")</f>
        <v/>
      </c>
      <c r="E11" s="13">
        <f>COUNTIFS(Journals!$A$2:$A$175,A11,Journals!$I$2:$I$175,"&lt;&gt;Not published")</f>
        <v/>
      </c>
    </row>
    <row r="12">
      <c r="A12" s="13" t="inlineStr">
        <is>
          <t>Power, Energy &amp; Industrial Electronics</t>
        </is>
      </c>
      <c r="B12" s="13">
        <f>COUNTIF(Journals!$A$2:$A$175,A12)</f>
        <v/>
      </c>
      <c r="C12" s="13">
        <f>COUNTIFS(Journals!$A$2:$A$175,A12,Journals!$E$2:$E$175,"Hybrid")</f>
        <v/>
      </c>
      <c r="D12" s="13">
        <f>COUNTIFS(Journals!$A$2:$A$175,A12,Journals!$E$2:$E$175,"Fully open access")</f>
        <v/>
      </c>
      <c r="E12" s="13">
        <f>COUNTIFS(Journals!$A$2:$A$175,A12,Journals!$I$2:$I$175,"&lt;&gt;Not published")</f>
        <v/>
      </c>
    </row>
    <row r="13">
      <c r="A13" s="13" t="inlineStr">
        <is>
          <t>Control, Robotics &amp; Systems</t>
        </is>
      </c>
      <c r="B13" s="13">
        <f>COUNTIF(Journals!$A$2:$A$175,A13)</f>
        <v/>
      </c>
      <c r="C13" s="13">
        <f>COUNTIFS(Journals!$A$2:$A$175,A13,Journals!$E$2:$E$175,"Hybrid")</f>
        <v/>
      </c>
      <c r="D13" s="13">
        <f>COUNTIFS(Journals!$A$2:$A$175,A13,Journals!$E$2:$E$175,"Fully open access")</f>
        <v/>
      </c>
      <c r="E13" s="13">
        <f>COUNTIFS(Journals!$A$2:$A$175,A13,Journals!$I$2:$I$175,"&lt;&gt;Not published")</f>
        <v/>
      </c>
    </row>
    <row r="14">
      <c r="A14" s="13" t="inlineStr">
        <is>
          <t>Vehicles &amp; Transportation</t>
        </is>
      </c>
      <c r="B14" s="13">
        <f>COUNTIF(Journals!$A$2:$A$175,A14)</f>
        <v/>
      </c>
      <c r="C14" s="13">
        <f>COUNTIFS(Journals!$A$2:$A$175,A14,Journals!$E$2:$E$175,"Hybrid")</f>
        <v/>
      </c>
      <c r="D14" s="13">
        <f>COUNTIFS(Journals!$A$2:$A$175,A14,Journals!$E$2:$E$175,"Fully open access")</f>
        <v/>
      </c>
      <c r="E14" s="13">
        <f>COUNTIFS(Journals!$A$2:$A$175,A14,Journals!$I$2:$I$175,"&lt;&gt;Not published")</f>
        <v/>
      </c>
    </row>
    <row r="15">
      <c r="A15" s="13" t="inlineStr">
        <is>
          <t>Instrumentation, Sensors &amp; Measurement</t>
        </is>
      </c>
      <c r="B15" s="13">
        <f>COUNTIF(Journals!$A$2:$A$175,A15)</f>
        <v/>
      </c>
      <c r="C15" s="13">
        <f>COUNTIFS(Journals!$A$2:$A$175,A15,Journals!$E$2:$E$175,"Hybrid")</f>
        <v/>
      </c>
      <c r="D15" s="13">
        <f>COUNTIFS(Journals!$A$2:$A$175,A15,Journals!$E$2:$E$175,"Fully open access")</f>
        <v/>
      </c>
      <c r="E15" s="13">
        <f>COUNTIFS(Journals!$A$2:$A$175,A15,Journals!$I$2:$I$175,"&lt;&gt;Not published")</f>
        <v/>
      </c>
    </row>
    <row r="16">
      <c r="A16" s="13" t="inlineStr">
        <is>
          <t>Biomedical &amp; Health</t>
        </is>
      </c>
      <c r="B16" s="13">
        <f>COUNTIF(Journals!$A$2:$A$175,A16)</f>
        <v/>
      </c>
      <c r="C16" s="13">
        <f>COUNTIFS(Journals!$A$2:$A$175,A16,Journals!$E$2:$E$175,"Hybrid")</f>
        <v/>
      </c>
      <c r="D16" s="13">
        <f>COUNTIFS(Journals!$A$2:$A$175,A16,Journals!$E$2:$E$175,"Fully open access")</f>
        <v/>
      </c>
      <c r="E16" s="13">
        <f>COUNTIFS(Journals!$A$2:$A$175,A16,Journals!$I$2:$I$175,"&lt;&gt;Not published")</f>
        <v/>
      </c>
    </row>
    <row r="17">
      <c r="A17" s="13" t="inlineStr">
        <is>
          <t>Multidisciplinary, Education &amp; Society</t>
        </is>
      </c>
      <c r="B17" s="13">
        <f>COUNTIF(Journals!$A$2:$A$175,A17)</f>
        <v/>
      </c>
      <c r="C17" s="13">
        <f>COUNTIFS(Journals!$A$2:$A$175,A17,Journals!$E$2:$E$175,"Hybrid")</f>
        <v/>
      </c>
      <c r="D17" s="13">
        <f>COUNTIFS(Journals!$A$2:$A$175,A17,Journals!$E$2:$E$175,"Fully open access")</f>
        <v/>
      </c>
      <c r="E17" s="13">
        <f>COUNTIFS(Journals!$A$2:$A$175,A17,Journals!$I$2:$I$175,"&lt;&gt;Not published")</f>
        <v/>
      </c>
    </row>
    <row r="18">
      <c r="A18" s="11" t="inlineStr">
        <is>
          <t>Total</t>
        </is>
      </c>
      <c r="B18" s="11">
        <f>SUM(B4:B17)</f>
        <v/>
      </c>
      <c r="C18" s="11">
        <f>SUM(C4:C17)</f>
        <v/>
      </c>
      <c r="D18" s="11">
        <f>SUM(D4:D17)</f>
        <v/>
      </c>
      <c r="E18" s="11">
        <f>SUM(E4:E17)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13" customWidth="1" min="4" max="4"/>
    <col width="17" customWidth="1" min="5" max="5"/>
    <col width="13" customWidth="1" min="6" max="6"/>
    <col width="15" customWidth="1" min="7" max="7"/>
    <col width="24" customWidth="1" min="8" max="8"/>
    <col width="30" customWidth="1" min="9" max="9"/>
    <col width="26" customWidth="1" min="10" max="10"/>
    <col width="34" customWidth="1" min="11" max="11"/>
    <col width="9" customWidth="1" min="12" max="12"/>
    <col width="48" customWidth="1" min="13" max="13"/>
  </cols>
  <sheetData>
    <row r="1" ht="32" customHeight="1">
      <c r="A1" s="6" t="inlineStr">
        <is>
          <t>Track</t>
        </is>
      </c>
      <c r="B1" s="6" t="inlineStr">
        <is>
          <t>Journal</t>
        </is>
      </c>
      <c r="C1" s="6" t="inlineStr">
        <is>
          <t>Acronym</t>
        </is>
      </c>
      <c r="D1" s="6" t="inlineStr">
        <is>
          <t>Type</t>
        </is>
      </c>
      <c r="E1" s="6" t="inlineStr">
        <is>
          <t>OA model</t>
        </is>
      </c>
      <c r="F1" s="6" t="inlineStr">
        <is>
          <t>APC 2026 (US$)</t>
        </is>
      </c>
      <c r="G1" s="6" t="inlineStr">
        <is>
          <t>APC for society member (US$)</t>
        </is>
      </c>
      <c r="H1" s="6" t="inlineStr">
        <is>
          <t>Cost without OA</t>
        </is>
      </c>
      <c r="I1" s="6" t="inlineStr">
        <is>
          <t>Avg. time to first decision</t>
        </is>
      </c>
      <c r="J1" s="6" t="inlineStr">
        <is>
          <t>Decision-time source</t>
        </is>
      </c>
      <c r="K1" s="6" t="inlineStr">
        <is>
          <t>Source link</t>
        </is>
      </c>
      <c r="L1" s="6" t="inlineStr">
        <is>
          <t>Society</t>
        </is>
      </c>
      <c r="M1" s="6" t="inlineStr">
        <is>
          <t>Notes</t>
        </is>
      </c>
    </row>
    <row r="2">
      <c r="A2" s="14" t="inlineStr">
        <is>
          <t>Aerospace, Radar &amp; Navigation</t>
        </is>
      </c>
      <c r="B2" s="15" t="inlineStr">
        <is>
          <t>IEEE Transactions on Aerospace and Electronic Systems</t>
        </is>
      </c>
      <c r="C2" s="14" t="inlineStr">
        <is>
          <t>TAES</t>
        </is>
      </c>
      <c r="D2" s="14" t="inlineStr">
        <is>
          <t>Transactions</t>
        </is>
      </c>
      <c r="E2" s="14" t="inlineStr">
        <is>
          <t>Hybrid</t>
        </is>
      </c>
      <c r="F2" s="16">
        <f>INDEX('Pricing rules'!$B$4:$B$6,MATCH(E2,'Pricing rules'!$A$4:$A$6,0))</f>
        <v/>
      </c>
      <c r="G2" s="16">
        <f>ROUND(F2*(1-'Pricing rules'!$B$10),0)</f>
        <v/>
      </c>
      <c r="H2" s="14" t="inlineStr">
        <is>
          <t>Free (overlength page charges may apply)</t>
        </is>
      </c>
      <c r="I2" s="14" t="inlineStr">
        <is>
          <t>~22.6 weeks first review round</t>
        </is>
      </c>
      <c r="J2" s="14" t="inlineStr">
        <is>
          <t>Crowd-sourced (SciRev)</t>
        </is>
      </c>
      <c r="K2" s="17" t="inlineStr">
        <is>
          <t>https://scirev.org/journal/ieee-transactions-on-aerospace-and-electronic-systems/</t>
        </is>
      </c>
      <c r="L2" s="14" t="inlineStr">
        <is>
          <t>AESS</t>
        </is>
      </c>
      <c r="M2" s="14" t="inlineStr">
        <is>
          <t>AESS flagship. APC US$2,800 confirmed by AESS for 2026.</t>
        </is>
      </c>
    </row>
    <row r="3">
      <c r="A3" s="14" t="inlineStr">
        <is>
          <t>Aerospace, Radar &amp; Navigation</t>
        </is>
      </c>
      <c r="B3" s="15" t="inlineStr">
        <is>
          <t>IEEE Transactions on Radar Systems</t>
        </is>
      </c>
      <c r="C3" s="14" t="inlineStr">
        <is>
          <t>T-RS</t>
        </is>
      </c>
      <c r="D3" s="14" t="inlineStr">
        <is>
          <t>Transactions</t>
        </is>
      </c>
      <c r="E3" s="14" t="inlineStr">
        <is>
          <t>Hybrid</t>
        </is>
      </c>
      <c r="F3" s="16">
        <f>INDEX('Pricing rules'!$B$4:$B$6,MATCH(E3,'Pricing rules'!$A$4:$A$6,0))</f>
        <v/>
      </c>
      <c r="G3" s="16">
        <f>ROUND(F3*(1-'Pricing rules'!$B$10),0)</f>
        <v/>
      </c>
      <c r="H3" s="14" t="inlineStr">
        <is>
          <t>Free (overlength page charges may apply)</t>
        </is>
      </c>
      <c r="I3" s="14" t="inlineStr">
        <is>
          <t>Not published</t>
        </is>
      </c>
      <c r="J3" s="14" t="inlineStr"/>
      <c r="K3" s="14" t="inlineStr"/>
      <c r="L3" s="14" t="inlineStr">
        <is>
          <t>AESS</t>
        </is>
      </c>
      <c r="M3" s="18" t="inlineStr">
        <is>
          <t>Open-access model not confirmed for 2026 — check the journal's author page.</t>
        </is>
      </c>
    </row>
    <row r="4">
      <c r="A4" s="14" t="inlineStr">
        <is>
          <t>Aerospace, Radar &amp; Navigation</t>
        </is>
      </c>
      <c r="B4" s="15" t="inlineStr">
        <is>
          <t>IEEE Journal on Miniaturization for Air and Space Systems</t>
        </is>
      </c>
      <c r="C4" s="14" t="inlineStr">
        <is>
          <t>J-MASS</t>
        </is>
      </c>
      <c r="D4" s="14" t="inlineStr">
        <is>
          <t>Journal</t>
        </is>
      </c>
      <c r="E4" s="14" t="inlineStr">
        <is>
          <t>Hybrid</t>
        </is>
      </c>
      <c r="F4" s="16">
        <f>INDEX('Pricing rules'!$B$4:$B$6,MATCH(E4,'Pricing rules'!$A$4:$A$6,0))</f>
        <v/>
      </c>
      <c r="G4" s="16">
        <f>ROUND(F4*(1-'Pricing rules'!$B$10),0)</f>
        <v/>
      </c>
      <c r="H4" s="14" t="inlineStr">
        <is>
          <t>Free (overlength page charges may apply)</t>
        </is>
      </c>
      <c r="I4" s="14" t="inlineStr">
        <is>
          <t>Not published</t>
        </is>
      </c>
      <c r="J4" s="14" t="inlineStr"/>
      <c r="K4" s="14" t="inlineStr"/>
      <c r="L4" s="14" t="inlineStr">
        <is>
          <t>AESS</t>
        </is>
      </c>
      <c r="M4" s="18" t="inlineStr">
        <is>
          <t>Open-access model not confirmed for 2026 — check the journal's author page.</t>
        </is>
      </c>
    </row>
    <row r="5">
      <c r="A5" s="14" t="inlineStr">
        <is>
          <t>Aerospace, Radar &amp; Navigation</t>
        </is>
      </c>
      <c r="B5" s="15" t="inlineStr">
        <is>
          <t>IEEE Journal of Indoor and Seamless Positioning and Navigation</t>
        </is>
      </c>
      <c r="C5" s="14" t="inlineStr">
        <is>
          <t>J-ISPIN</t>
        </is>
      </c>
      <c r="D5" s="14" t="inlineStr">
        <is>
          <t>Journal</t>
        </is>
      </c>
      <c r="E5" s="14" t="inlineStr">
        <is>
          <t>Fully open access</t>
        </is>
      </c>
      <c r="F5" s="16">
        <f>INDEX('Pricing rules'!$B$4:$B$6,MATCH(E5,'Pricing rules'!$A$4:$A$6,0))</f>
        <v/>
      </c>
      <c r="G5" s="16">
        <f>ROUND(F5*(1-'Pricing rules'!$B$10),0)</f>
        <v/>
      </c>
      <c r="H5" s="14" t="inlineStr">
        <is>
          <t>Not available — OA only</t>
        </is>
      </c>
      <c r="I5" s="14" t="inlineStr">
        <is>
          <t>Not published</t>
        </is>
      </c>
      <c r="J5" s="14" t="inlineStr"/>
      <c r="K5" s="14" t="inlineStr"/>
      <c r="L5" s="14" t="inlineStr"/>
      <c r="M5" s="14" t="inlineStr">
        <is>
          <t>Gold OA (IEEE Sensors Council, SPS, IMS).</t>
        </is>
      </c>
    </row>
    <row r="6">
      <c r="A6" s="14" t="inlineStr">
        <is>
          <t>Aerospace, Radar &amp; Navigation</t>
        </is>
      </c>
      <c r="B6" s="15" t="inlineStr">
        <is>
          <t>IEEE Journal of Radio Frequency Identification</t>
        </is>
      </c>
      <c r="C6" s="14" t="inlineStr">
        <is>
          <t>JRFID</t>
        </is>
      </c>
      <c r="D6" s="14" t="inlineStr">
        <is>
          <t>Journal</t>
        </is>
      </c>
      <c r="E6" s="14" t="inlineStr">
        <is>
          <t>Hybrid</t>
        </is>
      </c>
      <c r="F6" s="16">
        <f>INDEX('Pricing rules'!$B$4:$B$6,MATCH(E6,'Pricing rules'!$A$4:$A$6,0))</f>
        <v/>
      </c>
      <c r="G6" s="16">
        <f>ROUND(F6*(1-'Pricing rules'!$B$10),0)</f>
        <v/>
      </c>
      <c r="H6" s="14" t="inlineStr">
        <is>
          <t>Free (overlength page charges may apply)</t>
        </is>
      </c>
      <c r="I6" s="14" t="inlineStr">
        <is>
          <t>Not published</t>
        </is>
      </c>
      <c r="J6" s="14" t="inlineStr"/>
      <c r="K6" s="14" t="inlineStr"/>
      <c r="L6" s="14" t="inlineStr"/>
      <c r="M6" s="18" t="inlineStr">
        <is>
          <t>Open-access model not confirmed for 2026 — check the journal's author page.</t>
        </is>
      </c>
    </row>
    <row r="7">
      <c r="A7" s="14" t="inlineStr">
        <is>
          <t>Communications &amp; Networking</t>
        </is>
      </c>
      <c r="B7" s="15" t="inlineStr">
        <is>
          <t>IEEE Journal on Selected Areas in Communications</t>
        </is>
      </c>
      <c r="C7" s="14" t="inlineStr">
        <is>
          <t>JSAC</t>
        </is>
      </c>
      <c r="D7" s="14" t="inlineStr">
        <is>
          <t>Journal</t>
        </is>
      </c>
      <c r="E7" s="14" t="inlineStr">
        <is>
          <t>Hybrid</t>
        </is>
      </c>
      <c r="F7" s="16">
        <f>INDEX('Pricing rules'!$B$4:$B$6,MATCH(E7,'Pricing rules'!$A$4:$A$6,0))</f>
        <v/>
      </c>
      <c r="G7" s="16">
        <f>ROUND(F7*(1-'Pricing rules'!$B$10),0)</f>
        <v/>
      </c>
      <c r="H7" s="14" t="inlineStr">
        <is>
          <t>Free (overlength page charges may apply)</t>
        </is>
      </c>
      <c r="I7" s="14" t="inlineStr">
        <is>
          <t>4–8 months to first decision</t>
        </is>
      </c>
      <c r="J7" s="14" t="inlineStr">
        <is>
          <t>Third-party estimate</t>
        </is>
      </c>
      <c r="K7" s="17" t="inlineStr">
        <is>
          <t>https://manusights.com/blog/average-review-times-100-journals-2026</t>
        </is>
      </c>
      <c r="L7" s="14" t="inlineStr"/>
      <c r="M7" s="14" t="inlineStr">
        <is>
          <t>Special-issue driven.</t>
        </is>
      </c>
    </row>
    <row r="8">
      <c r="A8" s="14" t="inlineStr">
        <is>
          <t>Communications &amp; Networking</t>
        </is>
      </c>
      <c r="B8" s="15" t="inlineStr">
        <is>
          <t>IEEE Transactions on Communications</t>
        </is>
      </c>
      <c r="C8" s="14" t="inlineStr">
        <is>
          <t>TCOM</t>
        </is>
      </c>
      <c r="D8" s="14" t="inlineStr">
        <is>
          <t>Transactions</t>
        </is>
      </c>
      <c r="E8" s="14" t="inlineStr">
        <is>
          <t>Hybrid</t>
        </is>
      </c>
      <c r="F8" s="16">
        <f>INDEX('Pricing rules'!$B$4:$B$6,MATCH(E8,'Pricing rules'!$A$4:$A$6,0))</f>
        <v/>
      </c>
      <c r="G8" s="16">
        <f>ROUND(F8*(1-'Pricing rules'!$B$10),0)</f>
        <v/>
      </c>
      <c r="H8" s="14" t="inlineStr">
        <is>
          <t>Free (overlength page charges may apply)</t>
        </is>
      </c>
      <c r="I8" s="14" t="inlineStr">
        <is>
          <t>3–5 months to first decision</t>
        </is>
      </c>
      <c r="J8" s="14" t="inlineStr">
        <is>
          <t>Third-party estimate</t>
        </is>
      </c>
      <c r="K8" s="17" t="inlineStr">
        <is>
          <t>https://manusights.com/blog/average-review-times-100-journals-2026</t>
        </is>
      </c>
      <c r="L8" s="14" t="inlineStr"/>
      <c r="M8" s="14" t="inlineStr"/>
    </row>
    <row r="9">
      <c r="A9" s="14" t="inlineStr">
        <is>
          <t>Communications &amp; Networking</t>
        </is>
      </c>
      <c r="B9" s="15" t="inlineStr">
        <is>
          <t>IEEE Transactions on Wireless Communications</t>
        </is>
      </c>
      <c r="C9" s="14" t="inlineStr">
        <is>
          <t>TWC</t>
        </is>
      </c>
      <c r="D9" s="14" t="inlineStr">
        <is>
          <t>Transactions</t>
        </is>
      </c>
      <c r="E9" s="14" t="inlineStr">
        <is>
          <t>Hybrid</t>
        </is>
      </c>
      <c r="F9" s="16">
        <f>INDEX('Pricing rules'!$B$4:$B$6,MATCH(E9,'Pricing rules'!$A$4:$A$6,0))</f>
        <v/>
      </c>
      <c r="G9" s="16">
        <f>ROUND(F9*(1-'Pricing rules'!$B$10),0)</f>
        <v/>
      </c>
      <c r="H9" s="14" t="inlineStr">
        <is>
          <t>Free (overlength page charges may apply)</t>
        </is>
      </c>
      <c r="I9" s="14" t="inlineStr">
        <is>
          <t>3–5 months to first decision (sources conflict)</t>
        </is>
      </c>
      <c r="J9" s="14" t="inlineStr">
        <is>
          <t>Third-party estimate</t>
        </is>
      </c>
      <c r="K9" s="17" t="inlineStr">
        <is>
          <t>https://manusights.com/blog/ieee-transactions-on-wireless-communications-submission-guide</t>
        </is>
      </c>
      <c r="L9" s="14" t="inlineStr"/>
      <c r="M9" s="14" t="inlineStr"/>
    </row>
    <row r="10">
      <c r="A10" s="14" t="inlineStr">
        <is>
          <t>Communications &amp; Networking</t>
        </is>
      </c>
      <c r="B10" s="15" t="inlineStr">
        <is>
          <t>IEEE Communications Letters</t>
        </is>
      </c>
      <c r="C10" s="14" t="inlineStr">
        <is>
          <t>COMML</t>
        </is>
      </c>
      <c r="D10" s="14" t="inlineStr">
        <is>
          <t>Letters</t>
        </is>
      </c>
      <c r="E10" s="14" t="inlineStr">
        <is>
          <t>Hybrid</t>
        </is>
      </c>
      <c r="F10" s="16">
        <f>INDEX('Pricing rules'!$B$4:$B$6,MATCH(E10,'Pricing rules'!$A$4:$A$6,0))</f>
        <v/>
      </c>
      <c r="G10" s="16">
        <f>ROUND(F10*(1-'Pricing rules'!$B$10),0)</f>
        <v/>
      </c>
      <c r="H10" s="14" t="inlineStr">
        <is>
          <t>Free (overlength page charges may apply)</t>
        </is>
      </c>
      <c r="I10" s="14" t="inlineStr">
        <is>
          <t>Not published</t>
        </is>
      </c>
      <c r="J10" s="14" t="inlineStr"/>
      <c r="K10" s="14" t="inlineStr"/>
      <c r="L10" s="14" t="inlineStr"/>
      <c r="M10" s="14" t="inlineStr"/>
    </row>
    <row r="11">
      <c r="A11" s="14" t="inlineStr">
        <is>
          <t>Communications &amp; Networking</t>
        </is>
      </c>
      <c r="B11" s="15" t="inlineStr">
        <is>
          <t>IEEE Wireless Communications Letters</t>
        </is>
      </c>
      <c r="C11" s="14" t="inlineStr">
        <is>
          <t>WCL</t>
        </is>
      </c>
      <c r="D11" s="14" t="inlineStr">
        <is>
          <t>Letters</t>
        </is>
      </c>
      <c r="E11" s="14" t="inlineStr">
        <is>
          <t>Hybrid</t>
        </is>
      </c>
      <c r="F11" s="16">
        <f>INDEX('Pricing rules'!$B$4:$B$6,MATCH(E11,'Pricing rules'!$A$4:$A$6,0))</f>
        <v/>
      </c>
      <c r="G11" s="16">
        <f>ROUND(F11*(1-'Pricing rules'!$B$10),0)</f>
        <v/>
      </c>
      <c r="H11" s="14" t="inlineStr">
        <is>
          <t>Free (overlength page charges may apply)</t>
        </is>
      </c>
      <c r="I11" s="14" t="inlineStr">
        <is>
          <t>Not published</t>
        </is>
      </c>
      <c r="J11" s="14" t="inlineStr"/>
      <c r="K11" s="14" t="inlineStr"/>
      <c r="L11" s="14" t="inlineStr"/>
      <c r="M11" s="14" t="inlineStr"/>
    </row>
    <row r="12">
      <c r="A12" s="14" t="inlineStr">
        <is>
          <t>Communications &amp; Networking</t>
        </is>
      </c>
      <c r="B12" s="15" t="inlineStr">
        <is>
          <t>IEEE Communications Surveys &amp; Tutorials</t>
        </is>
      </c>
      <c r="C12" s="14" t="inlineStr">
        <is>
          <t>COMST</t>
        </is>
      </c>
      <c r="D12" s="14" t="inlineStr">
        <is>
          <t>Journal</t>
        </is>
      </c>
      <c r="E12" s="14" t="inlineStr">
        <is>
          <t>Hybrid</t>
        </is>
      </c>
      <c r="F12" s="16">
        <f>INDEX('Pricing rules'!$B$4:$B$6,MATCH(E12,'Pricing rules'!$A$4:$A$6,0))</f>
        <v/>
      </c>
      <c r="G12" s="16">
        <f>ROUND(F12*(1-'Pricing rules'!$B$10),0)</f>
        <v/>
      </c>
      <c r="H12" s="14" t="inlineStr">
        <is>
          <t>Free (overlength page charges may apply)</t>
        </is>
      </c>
      <c r="I12" s="14" t="inlineStr">
        <is>
          <t>Not published</t>
        </is>
      </c>
      <c r="J12" s="14" t="inlineStr"/>
      <c r="K12" s="14" t="inlineStr"/>
      <c r="L12" s="14" t="inlineStr"/>
      <c r="M12" s="14" t="inlineStr">
        <is>
          <t>Surveys/tutorials only.</t>
        </is>
      </c>
    </row>
    <row r="13">
      <c r="A13" s="14" t="inlineStr">
        <is>
          <t>Communications &amp; Networking</t>
        </is>
      </c>
      <c r="B13" s="15" t="inlineStr">
        <is>
          <t>IEEE Transactions on Networking (formerly IEEE/ACM ToN)</t>
        </is>
      </c>
      <c r="C13" s="14" t="inlineStr">
        <is>
          <t>ToN</t>
        </is>
      </c>
      <c r="D13" s="14" t="inlineStr">
        <is>
          <t>Transactions</t>
        </is>
      </c>
      <c r="E13" s="14" t="inlineStr">
        <is>
          <t>Hybrid</t>
        </is>
      </c>
      <c r="F13" s="16">
        <f>INDEX('Pricing rules'!$B$4:$B$6,MATCH(E13,'Pricing rules'!$A$4:$A$6,0))</f>
        <v/>
      </c>
      <c r="G13" s="16">
        <f>ROUND(F13*(1-'Pricing rules'!$B$10),0)</f>
        <v/>
      </c>
      <c r="H13" s="14" t="inlineStr">
        <is>
          <t>Free (overlength page charges may apply)</t>
        </is>
      </c>
      <c r="I13" s="14" t="inlineStr">
        <is>
          <t>~5 months (editor assignment to first decision)</t>
        </is>
      </c>
      <c r="J13" s="14" t="inlineStr">
        <is>
          <t>Official (IEEE ComSoc)</t>
        </is>
      </c>
      <c r="K13" s="17" t="inlineStr">
        <is>
          <t>https://www.comsoc.org/publications/journals/ieee-tnet/policies-guidelines</t>
        </is>
      </c>
      <c r="L13" s="14" t="inlineStr"/>
      <c r="M13" s="14" t="inlineStr"/>
    </row>
    <row r="14">
      <c r="A14" s="14" t="inlineStr">
        <is>
          <t>Communications &amp; Networking</t>
        </is>
      </c>
      <c r="B14" s="15" t="inlineStr">
        <is>
          <t>IEEE Transactions on Network and Service Management</t>
        </is>
      </c>
      <c r="C14" s="14" t="inlineStr">
        <is>
          <t>TNSM</t>
        </is>
      </c>
      <c r="D14" s="14" t="inlineStr">
        <is>
          <t>Transactions</t>
        </is>
      </c>
      <c r="E14" s="14" t="inlineStr">
        <is>
          <t>Hybrid</t>
        </is>
      </c>
      <c r="F14" s="16">
        <f>INDEX('Pricing rules'!$B$4:$B$6,MATCH(E14,'Pricing rules'!$A$4:$A$6,0))</f>
        <v/>
      </c>
      <c r="G14" s="16">
        <f>ROUND(F14*(1-'Pricing rules'!$B$10),0)</f>
        <v/>
      </c>
      <c r="H14" s="14" t="inlineStr">
        <is>
          <t>Free (overlength page charges may apply)</t>
        </is>
      </c>
      <c r="I14" s="14" t="inlineStr">
        <is>
          <t>Not published</t>
        </is>
      </c>
      <c r="J14" s="14" t="inlineStr"/>
      <c r="K14" s="14" t="inlineStr"/>
      <c r="L14" s="14" t="inlineStr"/>
      <c r="M14" s="14" t="inlineStr"/>
    </row>
    <row r="15">
      <c r="A15" s="14" t="inlineStr">
        <is>
          <t>Communications &amp; Networking</t>
        </is>
      </c>
      <c r="B15" s="15" t="inlineStr">
        <is>
          <t>IEEE Transactions on Cognitive Communications and Networking</t>
        </is>
      </c>
      <c r="C15" s="14" t="inlineStr">
        <is>
          <t>TCCN</t>
        </is>
      </c>
      <c r="D15" s="14" t="inlineStr">
        <is>
          <t>Transactions</t>
        </is>
      </c>
      <c r="E15" s="14" t="inlineStr">
        <is>
          <t>Hybrid</t>
        </is>
      </c>
      <c r="F15" s="16">
        <f>INDEX('Pricing rules'!$B$4:$B$6,MATCH(E15,'Pricing rules'!$A$4:$A$6,0))</f>
        <v/>
      </c>
      <c r="G15" s="16">
        <f>ROUND(F15*(1-'Pricing rules'!$B$10),0)</f>
        <v/>
      </c>
      <c r="H15" s="14" t="inlineStr">
        <is>
          <t>Free (overlength page charges may apply)</t>
        </is>
      </c>
      <c r="I15" s="14" t="inlineStr">
        <is>
          <t>Not published</t>
        </is>
      </c>
      <c r="J15" s="14" t="inlineStr"/>
      <c r="K15" s="14" t="inlineStr"/>
      <c r="L15" s="14" t="inlineStr"/>
      <c r="M15" s="14" t="inlineStr"/>
    </row>
    <row r="16">
      <c r="A16" s="14" t="inlineStr">
        <is>
          <t>Communications &amp; Networking</t>
        </is>
      </c>
      <c r="B16" s="15" t="inlineStr">
        <is>
          <t>IEEE Transactions on Green Communications and Networking</t>
        </is>
      </c>
      <c r="C16" s="14" t="inlineStr">
        <is>
          <t>TGCN</t>
        </is>
      </c>
      <c r="D16" s="14" t="inlineStr">
        <is>
          <t>Transactions</t>
        </is>
      </c>
      <c r="E16" s="14" t="inlineStr">
        <is>
          <t>Hybrid</t>
        </is>
      </c>
      <c r="F16" s="16">
        <f>INDEX('Pricing rules'!$B$4:$B$6,MATCH(E16,'Pricing rules'!$A$4:$A$6,0))</f>
        <v/>
      </c>
      <c r="G16" s="16">
        <f>ROUND(F16*(1-'Pricing rules'!$B$10),0)</f>
        <v/>
      </c>
      <c r="H16" s="14" t="inlineStr">
        <is>
          <t>Free (overlength page charges may apply)</t>
        </is>
      </c>
      <c r="I16" s="14" t="inlineStr">
        <is>
          <t>Not published</t>
        </is>
      </c>
      <c r="J16" s="14" t="inlineStr"/>
      <c r="K16" s="14" t="inlineStr"/>
      <c r="L16" s="14" t="inlineStr"/>
      <c r="M16" s="14" t="inlineStr"/>
    </row>
    <row r="17">
      <c r="A17" s="14" t="inlineStr">
        <is>
          <t>Communications &amp; Networking</t>
        </is>
      </c>
      <c r="B17" s="15" t="inlineStr">
        <is>
          <t>IEEE Transactions on Mobile Computing</t>
        </is>
      </c>
      <c r="C17" s="14" t="inlineStr">
        <is>
          <t>TMC</t>
        </is>
      </c>
      <c r="D17" s="14" t="inlineStr">
        <is>
          <t>Transactions</t>
        </is>
      </c>
      <c r="E17" s="14" t="inlineStr">
        <is>
          <t>Hybrid</t>
        </is>
      </c>
      <c r="F17" s="16">
        <f>INDEX('Pricing rules'!$B$4:$B$6,MATCH(E17,'Pricing rules'!$A$4:$A$6,0))</f>
        <v/>
      </c>
      <c r="G17" s="16">
        <f>ROUND(F17*(1-'Pricing rules'!$B$10),0)</f>
        <v/>
      </c>
      <c r="H17" s="14" t="inlineStr">
        <is>
          <t>Free (overlength page charges may apply)</t>
        </is>
      </c>
      <c r="I17" s="14" t="inlineStr">
        <is>
          <t>Not published</t>
        </is>
      </c>
      <c r="J17" s="14" t="inlineStr"/>
      <c r="K17" s="14" t="inlineStr"/>
      <c r="L17" s="14" t="inlineStr"/>
      <c r="M17" s="14" t="inlineStr"/>
    </row>
    <row r="18">
      <c r="A18" s="14" t="inlineStr">
        <is>
          <t>Communications &amp; Networking</t>
        </is>
      </c>
      <c r="B18" s="15" t="inlineStr">
        <is>
          <t>IEEE Internet of Things Journal</t>
        </is>
      </c>
      <c r="C18" s="14" t="inlineStr">
        <is>
          <t>IoT-J</t>
        </is>
      </c>
      <c r="D18" s="14" t="inlineStr">
        <is>
          <t>Journal</t>
        </is>
      </c>
      <c r="E18" s="14" t="inlineStr">
        <is>
          <t>Hybrid</t>
        </is>
      </c>
      <c r="F18" s="16">
        <f>INDEX('Pricing rules'!$B$4:$B$6,MATCH(E18,'Pricing rules'!$A$4:$A$6,0))</f>
        <v/>
      </c>
      <c r="G18" s="16">
        <f>ROUND(F18*(1-'Pricing rules'!$B$10),0)</f>
        <v/>
      </c>
      <c r="H18" s="14" t="inlineStr">
        <is>
          <t>Free (overlength page charges may apply)</t>
        </is>
      </c>
      <c r="I18" s="14" t="inlineStr">
        <is>
          <t>~6.9 weeks to first decision</t>
        </is>
      </c>
      <c r="J18" s="14" t="inlineStr">
        <is>
          <t>Third-party estimate</t>
        </is>
      </c>
      <c r="K18" s="17" t="inlineStr">
        <is>
          <t>https://manusights.com/blog/ieee-internet-of-things-journal-submission-guide</t>
        </is>
      </c>
      <c r="L18" s="14" t="inlineStr"/>
      <c r="M18" s="14" t="inlineStr"/>
    </row>
    <row r="19">
      <c r="A19" s="14" t="inlineStr">
        <is>
          <t>Communications &amp; Networking</t>
        </is>
      </c>
      <c r="B19" s="15" t="inlineStr">
        <is>
          <t>IEEE Transactions on Network Science and Engineering</t>
        </is>
      </c>
      <c r="C19" s="14" t="inlineStr">
        <is>
          <t>TNSE</t>
        </is>
      </c>
      <c r="D19" s="14" t="inlineStr">
        <is>
          <t>Transactions</t>
        </is>
      </c>
      <c r="E19" s="14" t="inlineStr">
        <is>
          <t>Hybrid</t>
        </is>
      </c>
      <c r="F19" s="16">
        <f>INDEX('Pricing rules'!$B$4:$B$6,MATCH(E19,'Pricing rules'!$A$4:$A$6,0))</f>
        <v/>
      </c>
      <c r="G19" s="16">
        <f>ROUND(F19*(1-'Pricing rules'!$B$10),0)</f>
        <v/>
      </c>
      <c r="H19" s="14" t="inlineStr">
        <is>
          <t>Free (overlength page charges may apply)</t>
        </is>
      </c>
      <c r="I19" s="14" t="inlineStr">
        <is>
          <t>Not published</t>
        </is>
      </c>
      <c r="J19" s="14" t="inlineStr"/>
      <c r="K19" s="14" t="inlineStr"/>
      <c r="L19" s="14" t="inlineStr"/>
      <c r="M19" s="14" t="inlineStr"/>
    </row>
    <row r="20">
      <c r="A20" s="14" t="inlineStr">
        <is>
          <t>Communications &amp; Networking</t>
        </is>
      </c>
      <c r="B20" s="15" t="inlineStr">
        <is>
          <t>IEEE Transactions on Molecular, Biological, and Multi-Scale Communications</t>
        </is>
      </c>
      <c r="C20" s="14" t="inlineStr">
        <is>
          <t>TMBMC</t>
        </is>
      </c>
      <c r="D20" s="14" t="inlineStr">
        <is>
          <t>Transactions</t>
        </is>
      </c>
      <c r="E20" s="14" t="inlineStr">
        <is>
          <t>Hybrid</t>
        </is>
      </c>
      <c r="F20" s="16">
        <f>INDEX('Pricing rules'!$B$4:$B$6,MATCH(E20,'Pricing rules'!$A$4:$A$6,0))</f>
        <v/>
      </c>
      <c r="G20" s="16">
        <f>ROUND(F20*(1-'Pricing rules'!$B$10),0)</f>
        <v/>
      </c>
      <c r="H20" s="14" t="inlineStr">
        <is>
          <t>Free (overlength page charges may apply)</t>
        </is>
      </c>
      <c r="I20" s="14" t="inlineStr">
        <is>
          <t>Not published</t>
        </is>
      </c>
      <c r="J20" s="14" t="inlineStr"/>
      <c r="K20" s="14" t="inlineStr"/>
      <c r="L20" s="14" t="inlineStr"/>
      <c r="M20" s="14" t="inlineStr"/>
    </row>
    <row r="21">
      <c r="A21" s="14" t="inlineStr">
        <is>
          <t>Communications &amp; Networking</t>
        </is>
      </c>
      <c r="B21" s="15" t="inlineStr">
        <is>
          <t>IEEE Transactions on Machine Learning in Communications and Networking</t>
        </is>
      </c>
      <c r="C21" s="14" t="inlineStr">
        <is>
          <t>TMLCN</t>
        </is>
      </c>
      <c r="D21" s="14" t="inlineStr">
        <is>
          <t>Transactions</t>
        </is>
      </c>
      <c r="E21" s="14" t="inlineStr">
        <is>
          <t>Fully open access</t>
        </is>
      </c>
      <c r="F21" s="16">
        <f>INDEX('Pricing rules'!$B$4:$B$6,MATCH(E21,'Pricing rules'!$A$4:$A$6,0))</f>
        <v/>
      </c>
      <c r="G21" s="16">
        <f>ROUND(F21*(1-'Pricing rules'!$B$10),0)</f>
        <v/>
      </c>
      <c r="H21" s="14" t="inlineStr">
        <is>
          <t>Not available — OA only</t>
        </is>
      </c>
      <c r="I21" s="14" t="inlineStr">
        <is>
          <t>Not published</t>
        </is>
      </c>
      <c r="J21" s="14" t="inlineStr"/>
      <c r="K21" s="14" t="inlineStr"/>
      <c r="L21" s="14" t="inlineStr"/>
      <c r="M21" s="18" t="inlineStr">
        <is>
          <t>Open-access model not confirmed for 2026 — check the journal's author page.</t>
        </is>
      </c>
    </row>
    <row r="22">
      <c r="A22" s="14" t="inlineStr">
        <is>
          <t>Communications &amp; Networking</t>
        </is>
      </c>
      <c r="B22" s="15" t="inlineStr">
        <is>
          <t>IEEE Networking Letters</t>
        </is>
      </c>
      <c r="C22" s="14" t="inlineStr">
        <is>
          <t>LNET</t>
        </is>
      </c>
      <c r="D22" s="14" t="inlineStr">
        <is>
          <t>Letters</t>
        </is>
      </c>
      <c r="E22" s="14" t="inlineStr">
        <is>
          <t>Hybrid</t>
        </is>
      </c>
      <c r="F22" s="16">
        <f>INDEX('Pricing rules'!$B$4:$B$6,MATCH(E22,'Pricing rules'!$A$4:$A$6,0))</f>
        <v/>
      </c>
      <c r="G22" s="16">
        <f>ROUND(F22*(1-'Pricing rules'!$B$10),0)</f>
        <v/>
      </c>
      <c r="H22" s="14" t="inlineStr">
        <is>
          <t>Free (overlength page charges may apply)</t>
        </is>
      </c>
      <c r="I22" s="14" t="inlineStr">
        <is>
          <t>Not published</t>
        </is>
      </c>
      <c r="J22" s="14" t="inlineStr"/>
      <c r="K22" s="14" t="inlineStr"/>
      <c r="L22" s="14" t="inlineStr"/>
      <c r="M22" s="14" t="inlineStr"/>
    </row>
    <row r="23">
      <c r="A23" s="14" t="inlineStr">
        <is>
          <t>Communications &amp; Networking</t>
        </is>
      </c>
      <c r="B23" s="15" t="inlineStr">
        <is>
          <t>IEEE Transactions on Broadcasting</t>
        </is>
      </c>
      <c r="C23" s="14" t="inlineStr">
        <is>
          <t>TBC</t>
        </is>
      </c>
      <c r="D23" s="14" t="inlineStr">
        <is>
          <t>Transactions</t>
        </is>
      </c>
      <c r="E23" s="14" t="inlineStr">
        <is>
          <t>Hybrid</t>
        </is>
      </c>
      <c r="F23" s="16">
        <f>INDEX('Pricing rules'!$B$4:$B$6,MATCH(E23,'Pricing rules'!$A$4:$A$6,0))</f>
        <v/>
      </c>
      <c r="G23" s="16">
        <f>ROUND(F23*(1-'Pricing rules'!$B$10),0)</f>
        <v/>
      </c>
      <c r="H23" s="14" t="inlineStr">
        <is>
          <t>Free (overlength page charges may apply)</t>
        </is>
      </c>
      <c r="I23" s="14" t="inlineStr">
        <is>
          <t>Not published</t>
        </is>
      </c>
      <c r="J23" s="14" t="inlineStr"/>
      <c r="K23" s="14" t="inlineStr"/>
      <c r="L23" s="14" t="inlineStr"/>
      <c r="M23" s="14" t="inlineStr"/>
    </row>
    <row r="24">
      <c r="A24" s="14" t="inlineStr">
        <is>
          <t>Communications &amp; Networking</t>
        </is>
      </c>
      <c r="B24" s="15" t="inlineStr">
        <is>
          <t>IEEE Transactions on Information Theory</t>
        </is>
      </c>
      <c r="C24" s="14" t="inlineStr">
        <is>
          <t>TIT</t>
        </is>
      </c>
      <c r="D24" s="14" t="inlineStr">
        <is>
          <t>Transactions</t>
        </is>
      </c>
      <c r="E24" s="14" t="inlineStr">
        <is>
          <t>Hybrid</t>
        </is>
      </c>
      <c r="F24" s="16">
        <f>INDEX('Pricing rules'!$B$4:$B$6,MATCH(E24,'Pricing rules'!$A$4:$A$6,0))</f>
        <v/>
      </c>
      <c r="G24" s="16">
        <f>ROUND(F24*(1-'Pricing rules'!$B$10),0)</f>
        <v/>
      </c>
      <c r="H24" s="14" t="inlineStr">
        <is>
          <t>Free (overlength page charges may apply)</t>
        </is>
      </c>
      <c r="I24" s="14" t="inlineStr">
        <is>
          <t>Not published</t>
        </is>
      </c>
      <c r="J24" s="14" t="inlineStr"/>
      <c r="K24" s="14" t="inlineStr"/>
      <c r="L24" s="14" t="inlineStr"/>
      <c r="M24" s="14" t="inlineStr"/>
    </row>
    <row r="25">
      <c r="A25" s="14" t="inlineStr">
        <is>
          <t>Communications &amp; Networking</t>
        </is>
      </c>
      <c r="B25" s="15" t="inlineStr">
        <is>
          <t>IEEE Journal on Selected Areas in Information Theory</t>
        </is>
      </c>
      <c r="C25" s="14" t="inlineStr">
        <is>
          <t>JSAIT</t>
        </is>
      </c>
      <c r="D25" s="14" t="inlineStr">
        <is>
          <t>Journal</t>
        </is>
      </c>
      <c r="E25" s="14" t="inlineStr">
        <is>
          <t>Hybrid</t>
        </is>
      </c>
      <c r="F25" s="16">
        <f>INDEX('Pricing rules'!$B$4:$B$6,MATCH(E25,'Pricing rules'!$A$4:$A$6,0))</f>
        <v/>
      </c>
      <c r="G25" s="16">
        <f>ROUND(F25*(1-'Pricing rules'!$B$10),0)</f>
        <v/>
      </c>
      <c r="H25" s="14" t="inlineStr">
        <is>
          <t>Free (overlength page charges may apply)</t>
        </is>
      </c>
      <c r="I25" s="14" t="inlineStr">
        <is>
          <t>Not published</t>
        </is>
      </c>
      <c r="J25" s="14" t="inlineStr"/>
      <c r="K25" s="14" t="inlineStr"/>
      <c r="L25" s="14" t="inlineStr"/>
      <c r="M25" s="18" t="inlineStr">
        <is>
          <t>Open-access model not confirmed for 2026 — check the journal's author page.</t>
        </is>
      </c>
    </row>
    <row r="26">
      <c r="A26" s="14" t="inlineStr">
        <is>
          <t>Communications &amp; Networking</t>
        </is>
      </c>
      <c r="B26" s="15" t="inlineStr">
        <is>
          <t>IEEE Open Journal of the Communications Society</t>
        </is>
      </c>
      <c r="C26" s="14" t="inlineStr">
        <is>
          <t>OJ-COMS</t>
        </is>
      </c>
      <c r="D26" s="14" t="inlineStr">
        <is>
          <t>Open journal</t>
        </is>
      </c>
      <c r="E26" s="14" t="inlineStr">
        <is>
          <t>Fully open access</t>
        </is>
      </c>
      <c r="F26" s="16">
        <f>INDEX('Pricing rules'!$B$4:$B$6,MATCH(E26,'Pricing rules'!$A$4:$A$6,0))</f>
        <v/>
      </c>
      <c r="G26" s="16">
        <f>ROUND(F26*(1-'Pricing rules'!$B$10),0)</f>
        <v/>
      </c>
      <c r="H26" s="14" t="inlineStr">
        <is>
          <t>Not available — OA only</t>
        </is>
      </c>
      <c r="I26" s="14" t="inlineStr">
        <is>
          <t>~3.2 weeks to first decision (2021 figure)</t>
        </is>
      </c>
      <c r="J26" s="14" t="inlineStr">
        <is>
          <t>Official (IEEE notice, 2021)</t>
        </is>
      </c>
      <c r="K26" s="17" t="inlineStr">
        <is>
          <t>https://ieeexplore.ieee.org/document/9689920/</t>
        </is>
      </c>
      <c r="L26" s="14" t="inlineStr"/>
      <c r="M26" s="14" t="inlineStr">
        <is>
          <t>APC US$2,160 confirmed by ComSoc for 2026.</t>
        </is>
      </c>
    </row>
    <row r="27">
      <c r="A27" s="14" t="inlineStr">
        <is>
          <t>Signal, Image &amp; Speech Processing</t>
        </is>
      </c>
      <c r="B27" s="15" t="inlineStr">
        <is>
          <t>IEEE Transactions on Signal Processing</t>
        </is>
      </c>
      <c r="C27" s="14" t="inlineStr">
        <is>
          <t>TSP</t>
        </is>
      </c>
      <c r="D27" s="14" t="inlineStr">
        <is>
          <t>Transactions</t>
        </is>
      </c>
      <c r="E27" s="14" t="inlineStr">
        <is>
          <t>Hybrid</t>
        </is>
      </c>
      <c r="F27" s="16">
        <f>INDEX('Pricing rules'!$B$4:$B$6,MATCH(E27,'Pricing rules'!$A$4:$A$6,0))</f>
        <v/>
      </c>
      <c r="G27" s="16">
        <f>ROUND(F27*(1-'Pricing rules'!$B$10),0)</f>
        <v/>
      </c>
      <c r="H27" s="14" t="inlineStr">
        <is>
          <t>Free (overlength page charges may apply)</t>
        </is>
      </c>
      <c r="I27" s="14" t="inlineStr">
        <is>
          <t>3–5 months to first decision</t>
        </is>
      </c>
      <c r="J27" s="14" t="inlineStr">
        <is>
          <t>Third-party estimate</t>
        </is>
      </c>
      <c r="K27" s="17" t="inlineStr">
        <is>
          <t>https://manusights.com/blog/ieee-transactions-on-signal-processing-submission-process</t>
        </is>
      </c>
      <c r="L27" s="14" t="inlineStr"/>
      <c r="M27" s="14" t="inlineStr"/>
    </row>
    <row r="28">
      <c r="A28" s="14" t="inlineStr">
        <is>
          <t>Signal, Image &amp; Speech Processing</t>
        </is>
      </c>
      <c r="B28" s="15" t="inlineStr">
        <is>
          <t>IEEE Signal Processing Letters</t>
        </is>
      </c>
      <c r="C28" s="14" t="inlineStr">
        <is>
          <t>SPL</t>
        </is>
      </c>
      <c r="D28" s="14" t="inlineStr">
        <is>
          <t>Letters</t>
        </is>
      </c>
      <c r="E28" s="14" t="inlineStr">
        <is>
          <t>Hybrid</t>
        </is>
      </c>
      <c r="F28" s="16">
        <f>INDEX('Pricing rules'!$B$4:$B$6,MATCH(E28,'Pricing rules'!$A$4:$A$6,0))</f>
        <v/>
      </c>
      <c r="G28" s="16">
        <f>ROUND(F28*(1-'Pricing rules'!$B$10),0)</f>
        <v/>
      </c>
      <c r="H28" s="14" t="inlineStr">
        <is>
          <t>Free (overlength page charges may apply)</t>
        </is>
      </c>
      <c r="I28" s="14" t="inlineStr">
        <is>
          <t>~1.3 months first review round</t>
        </is>
      </c>
      <c r="J28" s="14" t="inlineStr">
        <is>
          <t>Crowd-sourced (SciRev)</t>
        </is>
      </c>
      <c r="K28" s="17" t="inlineStr">
        <is>
          <t>https://scirev.org/journal/ieee-signal-processing-letters/</t>
        </is>
      </c>
      <c r="L28" s="14" t="inlineStr"/>
      <c r="M28" s="14" t="inlineStr"/>
    </row>
    <row r="29">
      <c r="A29" s="14" t="inlineStr">
        <is>
          <t>Signal, Image &amp; Speech Processing</t>
        </is>
      </c>
      <c r="B29" s="15" t="inlineStr">
        <is>
          <t>IEEE Journal of Selected Topics in Signal Processing</t>
        </is>
      </c>
      <c r="C29" s="14" t="inlineStr">
        <is>
          <t>JSTSP</t>
        </is>
      </c>
      <c r="D29" s="14" t="inlineStr">
        <is>
          <t>Journal</t>
        </is>
      </c>
      <c r="E29" s="14" t="inlineStr">
        <is>
          <t>Hybrid</t>
        </is>
      </c>
      <c r="F29" s="16">
        <f>INDEX('Pricing rules'!$B$4:$B$6,MATCH(E29,'Pricing rules'!$A$4:$A$6,0))</f>
        <v/>
      </c>
      <c r="G29" s="16">
        <f>ROUND(F29*(1-'Pricing rules'!$B$10),0)</f>
        <v/>
      </c>
      <c r="H29" s="14" t="inlineStr">
        <is>
          <t>Free (overlength page charges may apply)</t>
        </is>
      </c>
      <c r="I29" s="14" t="inlineStr">
        <is>
          <t>4–8 months (varies by special issue)</t>
        </is>
      </c>
      <c r="J29" s="14" t="inlineStr">
        <is>
          <t>Third-party estimate</t>
        </is>
      </c>
      <c r="K29" s="17" t="inlineStr">
        <is>
          <t>https://manusights.com/blog/average-review-times-100-journals-2026</t>
        </is>
      </c>
      <c r="L29" s="14" t="inlineStr"/>
      <c r="M29" s="14" t="inlineStr">
        <is>
          <t>Special-issue driven.</t>
        </is>
      </c>
    </row>
    <row r="30">
      <c r="A30" s="14" t="inlineStr">
        <is>
          <t>Signal, Image &amp; Speech Processing</t>
        </is>
      </c>
      <c r="B30" s="15" t="inlineStr">
        <is>
          <t>IEEE Transactions on Image Processing</t>
        </is>
      </c>
      <c r="C30" s="14" t="inlineStr">
        <is>
          <t>TIP</t>
        </is>
      </c>
      <c r="D30" s="14" t="inlineStr">
        <is>
          <t>Transactions</t>
        </is>
      </c>
      <c r="E30" s="14" t="inlineStr">
        <is>
          <t>Hybrid</t>
        </is>
      </c>
      <c r="F30" s="16">
        <f>INDEX('Pricing rules'!$B$4:$B$6,MATCH(E30,'Pricing rules'!$A$4:$A$6,0))</f>
        <v/>
      </c>
      <c r="G30" s="16">
        <f>ROUND(F30*(1-'Pricing rules'!$B$10),0)</f>
        <v/>
      </c>
      <c r="H30" s="14" t="inlineStr">
        <is>
          <t>Free (overlength page charges may apply)</t>
        </is>
      </c>
      <c r="I30" s="14" t="inlineStr">
        <is>
          <t>Not published</t>
        </is>
      </c>
      <c r="J30" s="14" t="inlineStr"/>
      <c r="K30" s="14" t="inlineStr"/>
      <c r="L30" s="14" t="inlineStr"/>
      <c r="M30" s="14" t="inlineStr"/>
    </row>
    <row r="31">
      <c r="A31" s="14" t="inlineStr">
        <is>
          <t>Signal, Image &amp; Speech Processing</t>
        </is>
      </c>
      <c r="B31" s="15" t="inlineStr">
        <is>
          <t>IEEE/ACM Transactions on Audio, Speech, and Language Processing</t>
        </is>
      </c>
      <c r="C31" s="14" t="inlineStr">
        <is>
          <t>TASLP</t>
        </is>
      </c>
      <c r="D31" s="14" t="inlineStr">
        <is>
          <t>Transactions</t>
        </is>
      </c>
      <c r="E31" s="14" t="inlineStr">
        <is>
          <t>Hybrid</t>
        </is>
      </c>
      <c r="F31" s="16">
        <f>INDEX('Pricing rules'!$B$4:$B$6,MATCH(E31,'Pricing rules'!$A$4:$A$6,0))</f>
        <v/>
      </c>
      <c r="G31" s="16">
        <f>ROUND(F31*(1-'Pricing rules'!$B$10),0)</f>
        <v/>
      </c>
      <c r="H31" s="14" t="inlineStr">
        <is>
          <t>Free (overlength page charges may apply)</t>
        </is>
      </c>
      <c r="I31" s="14" t="inlineStr">
        <is>
          <t>Not published</t>
        </is>
      </c>
      <c r="J31" s="14" t="inlineStr"/>
      <c r="K31" s="14" t="inlineStr"/>
      <c r="L31" s="14" t="inlineStr"/>
      <c r="M31" s="14" t="inlineStr"/>
    </row>
    <row r="32">
      <c r="A32" s="14" t="inlineStr">
        <is>
          <t>Signal, Image &amp; Speech Processing</t>
        </is>
      </c>
      <c r="B32" s="15" t="inlineStr">
        <is>
          <t>IEEE Transactions on Information Forensics and Security</t>
        </is>
      </c>
      <c r="C32" s="14" t="inlineStr">
        <is>
          <t>TIFS</t>
        </is>
      </c>
      <c r="D32" s="14" t="inlineStr">
        <is>
          <t>Transactions</t>
        </is>
      </c>
      <c r="E32" s="14" t="inlineStr">
        <is>
          <t>Hybrid</t>
        </is>
      </c>
      <c r="F32" s="16">
        <f>INDEX('Pricing rules'!$B$4:$B$6,MATCH(E32,'Pricing rules'!$A$4:$A$6,0))</f>
        <v/>
      </c>
      <c r="G32" s="16">
        <f>ROUND(F32*(1-'Pricing rules'!$B$10),0)</f>
        <v/>
      </c>
      <c r="H32" s="14" t="inlineStr">
        <is>
          <t>Free (overlength page charges may apply)</t>
        </is>
      </c>
      <c r="I32" s="14" t="inlineStr">
        <is>
          <t>Not published</t>
        </is>
      </c>
      <c r="J32" s="14" t="inlineStr"/>
      <c r="K32" s="14" t="inlineStr"/>
      <c r="L32" s="14" t="inlineStr"/>
      <c r="M32" s="14" t="inlineStr"/>
    </row>
    <row r="33">
      <c r="A33" s="14" t="inlineStr">
        <is>
          <t>Signal, Image &amp; Speech Processing</t>
        </is>
      </c>
      <c r="B33" s="15" t="inlineStr">
        <is>
          <t>IEEE Transactions on Multimedia</t>
        </is>
      </c>
      <c r="C33" s="14" t="inlineStr">
        <is>
          <t>TMM</t>
        </is>
      </c>
      <c r="D33" s="14" t="inlineStr">
        <is>
          <t>Transactions</t>
        </is>
      </c>
      <c r="E33" s="14" t="inlineStr">
        <is>
          <t>Hybrid</t>
        </is>
      </c>
      <c r="F33" s="16">
        <f>INDEX('Pricing rules'!$B$4:$B$6,MATCH(E33,'Pricing rules'!$A$4:$A$6,0))</f>
        <v/>
      </c>
      <c r="G33" s="16">
        <f>ROUND(F33*(1-'Pricing rules'!$B$10),0)</f>
        <v/>
      </c>
      <c r="H33" s="14" t="inlineStr">
        <is>
          <t>Free (overlength page charges may apply)</t>
        </is>
      </c>
      <c r="I33" s="14" t="inlineStr">
        <is>
          <t>Not published</t>
        </is>
      </c>
      <c r="J33" s="14" t="inlineStr"/>
      <c r="K33" s="14" t="inlineStr"/>
      <c r="L33" s="14" t="inlineStr"/>
      <c r="M33" s="14" t="inlineStr"/>
    </row>
    <row r="34">
      <c r="A34" s="14" t="inlineStr">
        <is>
          <t>Signal, Image &amp; Speech Processing</t>
        </is>
      </c>
      <c r="B34" s="15" t="inlineStr">
        <is>
          <t>IEEE Transactions on Computational Imaging</t>
        </is>
      </c>
      <c r="C34" s="14" t="inlineStr">
        <is>
          <t>TCI</t>
        </is>
      </c>
      <c r="D34" s="14" t="inlineStr">
        <is>
          <t>Transactions</t>
        </is>
      </c>
      <c r="E34" s="14" t="inlineStr">
        <is>
          <t>Hybrid</t>
        </is>
      </c>
      <c r="F34" s="16">
        <f>INDEX('Pricing rules'!$B$4:$B$6,MATCH(E34,'Pricing rules'!$A$4:$A$6,0))</f>
        <v/>
      </c>
      <c r="G34" s="16">
        <f>ROUND(F34*(1-'Pricing rules'!$B$10),0)</f>
        <v/>
      </c>
      <c r="H34" s="14" t="inlineStr">
        <is>
          <t>Free (overlength page charges may apply)</t>
        </is>
      </c>
      <c r="I34" s="14" t="inlineStr">
        <is>
          <t>Not published</t>
        </is>
      </c>
      <c r="J34" s="14" t="inlineStr"/>
      <c r="K34" s="14" t="inlineStr"/>
      <c r="L34" s="14" t="inlineStr"/>
      <c r="M34" s="14" t="inlineStr"/>
    </row>
    <row r="35">
      <c r="A35" s="14" t="inlineStr">
        <is>
          <t>Signal, Image &amp; Speech Processing</t>
        </is>
      </c>
      <c r="B35" s="15" t="inlineStr">
        <is>
          <t>IEEE Transactions on Signal and Information Processing over Networks</t>
        </is>
      </c>
      <c r="C35" s="14" t="inlineStr">
        <is>
          <t>TSIPN</t>
        </is>
      </c>
      <c r="D35" s="14" t="inlineStr">
        <is>
          <t>Transactions</t>
        </is>
      </c>
      <c r="E35" s="14" t="inlineStr">
        <is>
          <t>Hybrid</t>
        </is>
      </c>
      <c r="F35" s="16">
        <f>INDEX('Pricing rules'!$B$4:$B$6,MATCH(E35,'Pricing rules'!$A$4:$A$6,0))</f>
        <v/>
      </c>
      <c r="G35" s="16">
        <f>ROUND(F35*(1-'Pricing rules'!$B$10),0)</f>
        <v/>
      </c>
      <c r="H35" s="14" t="inlineStr">
        <is>
          <t>Free (overlength page charges may apply)</t>
        </is>
      </c>
      <c r="I35" s="14" t="inlineStr">
        <is>
          <t>Not published</t>
        </is>
      </c>
      <c r="J35" s="14" t="inlineStr"/>
      <c r="K35" s="14" t="inlineStr"/>
      <c r="L35" s="14" t="inlineStr"/>
      <c r="M35" s="14" t="inlineStr"/>
    </row>
    <row r="36">
      <c r="A36" s="14" t="inlineStr">
        <is>
          <t>Signal, Image &amp; Speech Processing</t>
        </is>
      </c>
      <c r="B36" s="15" t="inlineStr">
        <is>
          <t>IEEE Transactions on Circuits and Systems for Video Technology</t>
        </is>
      </c>
      <c r="C36" s="14" t="inlineStr">
        <is>
          <t>TCSVT</t>
        </is>
      </c>
      <c r="D36" s="14" t="inlineStr">
        <is>
          <t>Transactions</t>
        </is>
      </c>
      <c r="E36" s="14" t="inlineStr">
        <is>
          <t>Hybrid</t>
        </is>
      </c>
      <c r="F36" s="16">
        <f>INDEX('Pricing rules'!$B$4:$B$6,MATCH(E36,'Pricing rules'!$A$4:$A$6,0))</f>
        <v/>
      </c>
      <c r="G36" s="16">
        <f>ROUND(F36*(1-'Pricing rules'!$B$10),0)</f>
        <v/>
      </c>
      <c r="H36" s="14" t="inlineStr">
        <is>
          <t>Free (overlength page charges may apply)</t>
        </is>
      </c>
      <c r="I36" s="14" t="inlineStr">
        <is>
          <t>Not published</t>
        </is>
      </c>
      <c r="J36" s="14" t="inlineStr"/>
      <c r="K36" s="14" t="inlineStr"/>
      <c r="L36" s="14" t="inlineStr"/>
      <c r="M36" s="14" t="inlineStr"/>
    </row>
    <row r="37">
      <c r="A37" s="14" t="inlineStr">
        <is>
          <t>Signal, Image &amp; Speech Processing</t>
        </is>
      </c>
      <c r="B37" s="15" t="inlineStr">
        <is>
          <t>IEEE Open Journal of Signal Processing</t>
        </is>
      </c>
      <c r="C37" s="14" t="inlineStr">
        <is>
          <t>OJSP</t>
        </is>
      </c>
      <c r="D37" s="14" t="inlineStr">
        <is>
          <t>Open journal</t>
        </is>
      </c>
      <c r="E37" s="14" t="inlineStr">
        <is>
          <t>Fully open access</t>
        </is>
      </c>
      <c r="F37" s="16">
        <f>INDEX('Pricing rules'!$B$4:$B$6,MATCH(E37,'Pricing rules'!$A$4:$A$6,0))</f>
        <v/>
      </c>
      <c r="G37" s="16">
        <f>ROUND(F37*(1-'Pricing rules'!$B$10),0)</f>
        <v/>
      </c>
      <c r="H37" s="14" t="inlineStr">
        <is>
          <t>Not available — OA only</t>
        </is>
      </c>
      <c r="I37" s="14" t="inlineStr">
        <is>
          <t>Target 15 weeks to accept/reject (regular papers)</t>
        </is>
      </c>
      <c r="J37" s="14" t="inlineStr">
        <is>
          <t>Official target (IEEE SPS)</t>
        </is>
      </c>
      <c r="K37" s="17" t="inlineStr">
        <is>
          <t>https://signalprocessingsociety.org/publications-resources/ieee-open-journal-signal-processing/information-authors-ojsp</t>
        </is>
      </c>
      <c r="L37" s="14" t="inlineStr"/>
      <c r="M37" s="14" t="inlineStr">
        <is>
          <t>APC US$2,160 (2026); no overlength charges; US$1,500 for the conference section with a promo code.</t>
        </is>
      </c>
    </row>
    <row r="38">
      <c r="A38" s="14" t="inlineStr">
        <is>
          <t>AI, Computing &amp; Software</t>
        </is>
      </c>
      <c r="B38" s="15" t="inlineStr">
        <is>
          <t>IEEE Transactions on Pattern Analysis and Machine Intelligence</t>
        </is>
      </c>
      <c r="C38" s="14" t="inlineStr">
        <is>
          <t>TPAMI</t>
        </is>
      </c>
      <c r="D38" s="14" t="inlineStr">
        <is>
          <t>Transactions</t>
        </is>
      </c>
      <c r="E38" s="14" t="inlineStr">
        <is>
          <t>Hybrid</t>
        </is>
      </c>
      <c r="F38" s="16">
        <f>INDEX('Pricing rules'!$B$4:$B$6,MATCH(E38,'Pricing rules'!$A$4:$A$6,0))</f>
        <v/>
      </c>
      <c r="G38" s="16">
        <f>ROUND(F38*(1-'Pricing rules'!$B$10),0)</f>
        <v/>
      </c>
      <c r="H38" s="14" t="inlineStr">
        <is>
          <t>Free (overlength page charges may apply)</t>
        </is>
      </c>
      <c r="I38" s="14" t="inlineStr">
        <is>
          <t>Not published</t>
        </is>
      </c>
      <c r="J38" s="14" t="inlineStr"/>
      <c r="K38" s="14" t="inlineStr"/>
      <c r="L38" s="14" t="inlineStr"/>
      <c r="M38" s="14" t="inlineStr"/>
    </row>
    <row r="39">
      <c r="A39" s="14" t="inlineStr">
        <is>
          <t>AI, Computing &amp; Software</t>
        </is>
      </c>
      <c r="B39" s="15" t="inlineStr">
        <is>
          <t>IEEE Transactions on Neural Networks and Learning Systems</t>
        </is>
      </c>
      <c r="C39" s="14" t="inlineStr">
        <is>
          <t>TNNLS</t>
        </is>
      </c>
      <c r="D39" s="14" t="inlineStr">
        <is>
          <t>Transactions</t>
        </is>
      </c>
      <c r="E39" s="14" t="inlineStr">
        <is>
          <t>Hybrid</t>
        </is>
      </c>
      <c r="F39" s="16">
        <f>INDEX('Pricing rules'!$B$4:$B$6,MATCH(E39,'Pricing rules'!$A$4:$A$6,0))</f>
        <v/>
      </c>
      <c r="G39" s="16">
        <f>ROUND(F39*(1-'Pricing rules'!$B$10),0)</f>
        <v/>
      </c>
      <c r="H39" s="14" t="inlineStr">
        <is>
          <t>Free (overlength page charges may apply)</t>
        </is>
      </c>
      <c r="I39" s="14" t="inlineStr">
        <is>
          <t>Not published</t>
        </is>
      </c>
      <c r="J39" s="14" t="inlineStr"/>
      <c r="K39" s="14" t="inlineStr"/>
      <c r="L39" s="14" t="inlineStr"/>
      <c r="M39" s="14" t="inlineStr"/>
    </row>
    <row r="40">
      <c r="A40" s="14" t="inlineStr">
        <is>
          <t>AI, Computing &amp; Software</t>
        </is>
      </c>
      <c r="B40" s="15" t="inlineStr">
        <is>
          <t>IEEE Transactions on Artificial Intelligence</t>
        </is>
      </c>
      <c r="C40" s="14" t="inlineStr">
        <is>
          <t>TAI</t>
        </is>
      </c>
      <c r="D40" s="14" t="inlineStr">
        <is>
          <t>Transactions</t>
        </is>
      </c>
      <c r="E40" s="14" t="inlineStr">
        <is>
          <t>Hybrid</t>
        </is>
      </c>
      <c r="F40" s="16">
        <f>INDEX('Pricing rules'!$B$4:$B$6,MATCH(E40,'Pricing rules'!$A$4:$A$6,0))</f>
        <v/>
      </c>
      <c r="G40" s="16">
        <f>ROUND(F40*(1-'Pricing rules'!$B$10),0)</f>
        <v/>
      </c>
      <c r="H40" s="14" t="inlineStr">
        <is>
          <t>Free (overlength page charges may apply)</t>
        </is>
      </c>
      <c r="I40" s="14" t="inlineStr">
        <is>
          <t>~12 weeks to first decision</t>
        </is>
      </c>
      <c r="J40" s="14" t="inlineStr">
        <is>
          <t>Official (IEEE CIS)</t>
        </is>
      </c>
      <c r="K40" s="17" t="inlineStr">
        <is>
          <t>https://cis.ieee.org/publications/ieee-transactions-on-artificial-intelligence/review-process</t>
        </is>
      </c>
      <c r="L40" s="14" t="inlineStr"/>
      <c r="M40" s="14" t="inlineStr"/>
    </row>
    <row r="41">
      <c r="A41" s="14" t="inlineStr">
        <is>
          <t>AI, Computing &amp; Software</t>
        </is>
      </c>
      <c r="B41" s="15" t="inlineStr">
        <is>
          <t>IEEE Transactions on Cybernetics</t>
        </is>
      </c>
      <c r="C41" s="14" t="inlineStr">
        <is>
          <t>TCYB</t>
        </is>
      </c>
      <c r="D41" s="14" t="inlineStr">
        <is>
          <t>Transactions</t>
        </is>
      </c>
      <c r="E41" s="14" t="inlineStr">
        <is>
          <t>Hybrid</t>
        </is>
      </c>
      <c r="F41" s="16">
        <f>INDEX('Pricing rules'!$B$4:$B$6,MATCH(E41,'Pricing rules'!$A$4:$A$6,0))</f>
        <v/>
      </c>
      <c r="G41" s="16">
        <f>ROUND(F41*(1-'Pricing rules'!$B$10),0)</f>
        <v/>
      </c>
      <c r="H41" s="14" t="inlineStr">
        <is>
          <t>Free (overlength page charges may apply)</t>
        </is>
      </c>
      <c r="I41" s="14" t="inlineStr">
        <is>
          <t>Not published</t>
        </is>
      </c>
      <c r="J41" s="14" t="inlineStr"/>
      <c r="K41" s="14" t="inlineStr"/>
      <c r="L41" s="14" t="inlineStr"/>
      <c r="M41" s="14" t="inlineStr"/>
    </row>
    <row r="42">
      <c r="A42" s="14" t="inlineStr">
        <is>
          <t>AI, Computing &amp; Software</t>
        </is>
      </c>
      <c r="B42" s="15" t="inlineStr">
        <is>
          <t>IEEE Transactions on Fuzzy Systems</t>
        </is>
      </c>
      <c r="C42" s="14" t="inlineStr">
        <is>
          <t>TFS</t>
        </is>
      </c>
      <c r="D42" s="14" t="inlineStr">
        <is>
          <t>Transactions</t>
        </is>
      </c>
      <c r="E42" s="14" t="inlineStr">
        <is>
          <t>Hybrid</t>
        </is>
      </c>
      <c r="F42" s="16">
        <f>INDEX('Pricing rules'!$B$4:$B$6,MATCH(E42,'Pricing rules'!$A$4:$A$6,0))</f>
        <v/>
      </c>
      <c r="G42" s="16">
        <f>ROUND(F42*(1-'Pricing rules'!$B$10),0)</f>
        <v/>
      </c>
      <c r="H42" s="14" t="inlineStr">
        <is>
          <t>Free (overlength page charges may apply)</t>
        </is>
      </c>
      <c r="I42" s="14" t="inlineStr">
        <is>
          <t>Not published</t>
        </is>
      </c>
      <c r="J42" s="14" t="inlineStr"/>
      <c r="K42" s="14" t="inlineStr"/>
      <c r="L42" s="14" t="inlineStr"/>
      <c r="M42" s="14" t="inlineStr"/>
    </row>
    <row r="43">
      <c r="A43" s="14" t="inlineStr">
        <is>
          <t>AI, Computing &amp; Software</t>
        </is>
      </c>
      <c r="B43" s="15" t="inlineStr">
        <is>
          <t>IEEE Transactions on Evolutionary Computation</t>
        </is>
      </c>
      <c r="C43" s="14" t="inlineStr">
        <is>
          <t>TEVC</t>
        </is>
      </c>
      <c r="D43" s="14" t="inlineStr">
        <is>
          <t>Transactions</t>
        </is>
      </c>
      <c r="E43" s="14" t="inlineStr">
        <is>
          <t>Hybrid</t>
        </is>
      </c>
      <c r="F43" s="16">
        <f>INDEX('Pricing rules'!$B$4:$B$6,MATCH(E43,'Pricing rules'!$A$4:$A$6,0))</f>
        <v/>
      </c>
      <c r="G43" s="16">
        <f>ROUND(F43*(1-'Pricing rules'!$B$10),0)</f>
        <v/>
      </c>
      <c r="H43" s="14" t="inlineStr">
        <is>
          <t>Free (overlength page charges may apply)</t>
        </is>
      </c>
      <c r="I43" s="14" t="inlineStr">
        <is>
          <t>Not published</t>
        </is>
      </c>
      <c r="J43" s="14" t="inlineStr"/>
      <c r="K43" s="14" t="inlineStr"/>
      <c r="L43" s="14" t="inlineStr"/>
      <c r="M43" s="14" t="inlineStr"/>
    </row>
    <row r="44">
      <c r="A44" s="14" t="inlineStr">
        <is>
          <t>AI, Computing &amp; Software</t>
        </is>
      </c>
      <c r="B44" s="15" t="inlineStr">
        <is>
          <t>IEEE Transactions on Emerging Topics in Computational Intelligence</t>
        </is>
      </c>
      <c r="C44" s="14" t="inlineStr">
        <is>
          <t>TETCI</t>
        </is>
      </c>
      <c r="D44" s="14" t="inlineStr">
        <is>
          <t>Transactions</t>
        </is>
      </c>
      <c r="E44" s="14" t="inlineStr">
        <is>
          <t>Hybrid</t>
        </is>
      </c>
      <c r="F44" s="16">
        <f>INDEX('Pricing rules'!$B$4:$B$6,MATCH(E44,'Pricing rules'!$A$4:$A$6,0))</f>
        <v/>
      </c>
      <c r="G44" s="16">
        <f>ROUND(F44*(1-'Pricing rules'!$B$10),0)</f>
        <v/>
      </c>
      <c r="H44" s="14" t="inlineStr">
        <is>
          <t>Free (overlength page charges may apply)</t>
        </is>
      </c>
      <c r="I44" s="14" t="inlineStr">
        <is>
          <t>Not published</t>
        </is>
      </c>
      <c r="J44" s="14" t="inlineStr"/>
      <c r="K44" s="14" t="inlineStr"/>
      <c r="L44" s="14" t="inlineStr"/>
      <c r="M44" s="14" t="inlineStr"/>
    </row>
    <row r="45">
      <c r="A45" s="14" t="inlineStr">
        <is>
          <t>AI, Computing &amp; Software</t>
        </is>
      </c>
      <c r="B45" s="15" t="inlineStr">
        <is>
          <t>IEEE Transactions on Cognitive and Developmental Systems</t>
        </is>
      </c>
      <c r="C45" s="14" t="inlineStr">
        <is>
          <t>TCDS</t>
        </is>
      </c>
      <c r="D45" s="14" t="inlineStr">
        <is>
          <t>Transactions</t>
        </is>
      </c>
      <c r="E45" s="14" t="inlineStr">
        <is>
          <t>Hybrid</t>
        </is>
      </c>
      <c r="F45" s="16">
        <f>INDEX('Pricing rules'!$B$4:$B$6,MATCH(E45,'Pricing rules'!$A$4:$A$6,0))</f>
        <v/>
      </c>
      <c r="G45" s="16">
        <f>ROUND(F45*(1-'Pricing rules'!$B$10),0)</f>
        <v/>
      </c>
      <c r="H45" s="14" t="inlineStr">
        <is>
          <t>Free (overlength page charges may apply)</t>
        </is>
      </c>
      <c r="I45" s="14" t="inlineStr">
        <is>
          <t>Not published</t>
        </is>
      </c>
      <c r="J45" s="14" t="inlineStr"/>
      <c r="K45" s="14" t="inlineStr"/>
      <c r="L45" s="14" t="inlineStr"/>
      <c r="M45" s="14" t="inlineStr"/>
    </row>
    <row r="46">
      <c r="A46" s="14" t="inlineStr">
        <is>
          <t>AI, Computing &amp; Software</t>
        </is>
      </c>
      <c r="B46" s="15" t="inlineStr">
        <is>
          <t>IEEE Transactions on Games</t>
        </is>
      </c>
      <c r="C46" s="14" t="inlineStr">
        <is>
          <t>ToG</t>
        </is>
      </c>
      <c r="D46" s="14" t="inlineStr">
        <is>
          <t>Transactions</t>
        </is>
      </c>
      <c r="E46" s="14" t="inlineStr">
        <is>
          <t>Hybrid</t>
        </is>
      </c>
      <c r="F46" s="16">
        <f>INDEX('Pricing rules'!$B$4:$B$6,MATCH(E46,'Pricing rules'!$A$4:$A$6,0))</f>
        <v/>
      </c>
      <c r="G46" s="16">
        <f>ROUND(F46*(1-'Pricing rules'!$B$10),0)</f>
        <v/>
      </c>
      <c r="H46" s="14" t="inlineStr">
        <is>
          <t>Free (overlength page charges may apply)</t>
        </is>
      </c>
      <c r="I46" s="14" t="inlineStr">
        <is>
          <t>Not published</t>
        </is>
      </c>
      <c r="J46" s="14" t="inlineStr"/>
      <c r="K46" s="14" t="inlineStr"/>
      <c r="L46" s="14" t="inlineStr"/>
      <c r="M46" s="14" t="inlineStr"/>
    </row>
    <row r="47">
      <c r="A47" s="14" t="inlineStr">
        <is>
          <t>AI, Computing &amp; Software</t>
        </is>
      </c>
      <c r="B47" s="15" t="inlineStr">
        <is>
          <t>IEEE Transactions on Computers</t>
        </is>
      </c>
      <c r="C47" s="14" t="inlineStr">
        <is>
          <t>TC</t>
        </is>
      </c>
      <c r="D47" s="14" t="inlineStr">
        <is>
          <t>Transactions</t>
        </is>
      </c>
      <c r="E47" s="14" t="inlineStr">
        <is>
          <t>Hybrid</t>
        </is>
      </c>
      <c r="F47" s="16">
        <f>INDEX('Pricing rules'!$B$4:$B$6,MATCH(E47,'Pricing rules'!$A$4:$A$6,0))</f>
        <v/>
      </c>
      <c r="G47" s="16">
        <f>ROUND(F47*(1-'Pricing rules'!$B$10),0)</f>
        <v/>
      </c>
      <c r="H47" s="14" t="inlineStr">
        <is>
          <t>Free (overlength page charges may apply)</t>
        </is>
      </c>
      <c r="I47" s="14" t="inlineStr">
        <is>
          <t>Not published</t>
        </is>
      </c>
      <c r="J47" s="14" t="inlineStr"/>
      <c r="K47" s="14" t="inlineStr"/>
      <c r="L47" s="14" t="inlineStr"/>
      <c r="M47" s="14" t="inlineStr"/>
    </row>
    <row r="48">
      <c r="A48" s="14" t="inlineStr">
        <is>
          <t>AI, Computing &amp; Software</t>
        </is>
      </c>
      <c r="B48" s="15" t="inlineStr">
        <is>
          <t>IEEE Transactions on Software Engineering</t>
        </is>
      </c>
      <c r="C48" s="14" t="inlineStr">
        <is>
          <t>TSE</t>
        </is>
      </c>
      <c r="D48" s="14" t="inlineStr">
        <is>
          <t>Transactions</t>
        </is>
      </c>
      <c r="E48" s="14" t="inlineStr">
        <is>
          <t>Hybrid</t>
        </is>
      </c>
      <c r="F48" s="16">
        <f>INDEX('Pricing rules'!$B$4:$B$6,MATCH(E48,'Pricing rules'!$A$4:$A$6,0))</f>
        <v/>
      </c>
      <c r="G48" s="16">
        <f>ROUND(F48*(1-'Pricing rules'!$B$10),0)</f>
        <v/>
      </c>
      <c r="H48" s="14" t="inlineStr">
        <is>
          <t>Free (overlength page charges may apply)</t>
        </is>
      </c>
      <c r="I48" s="14" t="inlineStr">
        <is>
          <t>Not published</t>
        </is>
      </c>
      <c r="J48" s="14" t="inlineStr"/>
      <c r="K48" s="14" t="inlineStr"/>
      <c r="L48" s="14" t="inlineStr"/>
      <c r="M48" s="14" t="inlineStr"/>
    </row>
    <row r="49">
      <c r="A49" s="14" t="inlineStr">
        <is>
          <t>AI, Computing &amp; Software</t>
        </is>
      </c>
      <c r="B49" s="15" t="inlineStr">
        <is>
          <t>IEEE Transactions on Knowledge and Data Engineering</t>
        </is>
      </c>
      <c r="C49" s="14" t="inlineStr">
        <is>
          <t>TKDE</t>
        </is>
      </c>
      <c r="D49" s="14" t="inlineStr">
        <is>
          <t>Transactions</t>
        </is>
      </c>
      <c r="E49" s="14" t="inlineStr">
        <is>
          <t>Hybrid</t>
        </is>
      </c>
      <c r="F49" s="16">
        <f>INDEX('Pricing rules'!$B$4:$B$6,MATCH(E49,'Pricing rules'!$A$4:$A$6,0))</f>
        <v/>
      </c>
      <c r="G49" s="16">
        <f>ROUND(F49*(1-'Pricing rules'!$B$10),0)</f>
        <v/>
      </c>
      <c r="H49" s="14" t="inlineStr">
        <is>
          <t>Free (overlength page charges may apply)</t>
        </is>
      </c>
      <c r="I49" s="14" t="inlineStr">
        <is>
          <t>Not published</t>
        </is>
      </c>
      <c r="J49" s="14" t="inlineStr"/>
      <c r="K49" s="14" t="inlineStr"/>
      <c r="L49" s="14" t="inlineStr"/>
      <c r="M49" s="14" t="inlineStr"/>
    </row>
    <row r="50">
      <c r="A50" s="14" t="inlineStr">
        <is>
          <t>AI, Computing &amp; Software</t>
        </is>
      </c>
      <c r="B50" s="15" t="inlineStr">
        <is>
          <t>IEEE Transactions on Parallel and Distributed Systems</t>
        </is>
      </c>
      <c r="C50" s="14" t="inlineStr">
        <is>
          <t>TPDS</t>
        </is>
      </c>
      <c r="D50" s="14" t="inlineStr">
        <is>
          <t>Transactions</t>
        </is>
      </c>
      <c r="E50" s="14" t="inlineStr">
        <is>
          <t>Hybrid</t>
        </is>
      </c>
      <c r="F50" s="16">
        <f>INDEX('Pricing rules'!$B$4:$B$6,MATCH(E50,'Pricing rules'!$A$4:$A$6,0))</f>
        <v/>
      </c>
      <c r="G50" s="16">
        <f>ROUND(F50*(1-'Pricing rules'!$B$10),0)</f>
        <v/>
      </c>
      <c r="H50" s="14" t="inlineStr">
        <is>
          <t>Free (overlength page charges may apply)</t>
        </is>
      </c>
      <c r="I50" s="14" t="inlineStr">
        <is>
          <t>Not published</t>
        </is>
      </c>
      <c r="J50" s="14" t="inlineStr"/>
      <c r="K50" s="14" t="inlineStr"/>
      <c r="L50" s="14" t="inlineStr"/>
      <c r="M50" s="14" t="inlineStr"/>
    </row>
    <row r="51">
      <c r="A51" s="14" t="inlineStr">
        <is>
          <t>AI, Computing &amp; Software</t>
        </is>
      </c>
      <c r="B51" s="15" t="inlineStr">
        <is>
          <t>IEEE Transactions on Dependable and Secure Computing</t>
        </is>
      </c>
      <c r="C51" s="14" t="inlineStr">
        <is>
          <t>TDSC</t>
        </is>
      </c>
      <c r="D51" s="14" t="inlineStr">
        <is>
          <t>Transactions</t>
        </is>
      </c>
      <c r="E51" s="14" t="inlineStr">
        <is>
          <t>Hybrid</t>
        </is>
      </c>
      <c r="F51" s="16">
        <f>INDEX('Pricing rules'!$B$4:$B$6,MATCH(E51,'Pricing rules'!$A$4:$A$6,0))</f>
        <v/>
      </c>
      <c r="G51" s="16">
        <f>ROUND(F51*(1-'Pricing rules'!$B$10),0)</f>
        <v/>
      </c>
      <c r="H51" s="14" t="inlineStr">
        <is>
          <t>Free (overlength page charges may apply)</t>
        </is>
      </c>
      <c r="I51" s="14" t="inlineStr">
        <is>
          <t>Not published</t>
        </is>
      </c>
      <c r="J51" s="14" t="inlineStr"/>
      <c r="K51" s="14" t="inlineStr"/>
      <c r="L51" s="14" t="inlineStr"/>
      <c r="M51" s="14" t="inlineStr"/>
    </row>
    <row r="52">
      <c r="A52" s="14" t="inlineStr">
        <is>
          <t>AI, Computing &amp; Software</t>
        </is>
      </c>
      <c r="B52" s="15" t="inlineStr">
        <is>
          <t>IEEE Transactions on Visualization and Computer Graphics</t>
        </is>
      </c>
      <c r="C52" s="14" t="inlineStr">
        <is>
          <t>TVCG</t>
        </is>
      </c>
      <c r="D52" s="14" t="inlineStr">
        <is>
          <t>Transactions</t>
        </is>
      </c>
      <c r="E52" s="14" t="inlineStr">
        <is>
          <t>Hybrid</t>
        </is>
      </c>
      <c r="F52" s="16">
        <f>INDEX('Pricing rules'!$B$4:$B$6,MATCH(E52,'Pricing rules'!$A$4:$A$6,0))</f>
        <v/>
      </c>
      <c r="G52" s="16">
        <f>ROUND(F52*(1-'Pricing rules'!$B$10),0)</f>
        <v/>
      </c>
      <c r="H52" s="14" t="inlineStr">
        <is>
          <t>Free (overlength page charges may apply)</t>
        </is>
      </c>
      <c r="I52" s="14" t="inlineStr">
        <is>
          <t>Not published</t>
        </is>
      </c>
      <c r="J52" s="14" t="inlineStr"/>
      <c r="K52" s="14" t="inlineStr"/>
      <c r="L52" s="14" t="inlineStr"/>
      <c r="M52" s="14" t="inlineStr"/>
    </row>
    <row r="53">
      <c r="A53" s="14" t="inlineStr">
        <is>
          <t>AI, Computing &amp; Software</t>
        </is>
      </c>
      <c r="B53" s="15" t="inlineStr">
        <is>
          <t>IEEE Transactions on Cloud Computing</t>
        </is>
      </c>
      <c r="C53" s="14" t="inlineStr">
        <is>
          <t>TCC</t>
        </is>
      </c>
      <c r="D53" s="14" t="inlineStr">
        <is>
          <t>Transactions</t>
        </is>
      </c>
      <c r="E53" s="14" t="inlineStr">
        <is>
          <t>Hybrid</t>
        </is>
      </c>
      <c r="F53" s="16">
        <f>INDEX('Pricing rules'!$B$4:$B$6,MATCH(E53,'Pricing rules'!$A$4:$A$6,0))</f>
        <v/>
      </c>
      <c r="G53" s="16">
        <f>ROUND(F53*(1-'Pricing rules'!$B$10),0)</f>
        <v/>
      </c>
      <c r="H53" s="14" t="inlineStr">
        <is>
          <t>Free (overlength page charges may apply)</t>
        </is>
      </c>
      <c r="I53" s="14" t="inlineStr">
        <is>
          <t>Not published</t>
        </is>
      </c>
      <c r="J53" s="14" t="inlineStr"/>
      <c r="K53" s="14" t="inlineStr"/>
      <c r="L53" s="14" t="inlineStr"/>
      <c r="M53" s="14" t="inlineStr"/>
    </row>
    <row r="54">
      <c r="A54" s="14" t="inlineStr">
        <is>
          <t>AI, Computing &amp; Software</t>
        </is>
      </c>
      <c r="B54" s="15" t="inlineStr">
        <is>
          <t>IEEE Transactions on Big Data</t>
        </is>
      </c>
      <c r="C54" s="14" t="inlineStr">
        <is>
          <t>TBD</t>
        </is>
      </c>
      <c r="D54" s="14" t="inlineStr">
        <is>
          <t>Transactions</t>
        </is>
      </c>
      <c r="E54" s="14" t="inlineStr">
        <is>
          <t>Hybrid</t>
        </is>
      </c>
      <c r="F54" s="16">
        <f>INDEX('Pricing rules'!$B$4:$B$6,MATCH(E54,'Pricing rules'!$A$4:$A$6,0))</f>
        <v/>
      </c>
      <c r="G54" s="16">
        <f>ROUND(F54*(1-'Pricing rules'!$B$10),0)</f>
        <v/>
      </c>
      <c r="H54" s="14" t="inlineStr">
        <is>
          <t>Free (overlength page charges may apply)</t>
        </is>
      </c>
      <c r="I54" s="14" t="inlineStr">
        <is>
          <t>Not published</t>
        </is>
      </c>
      <c r="J54" s="14" t="inlineStr"/>
      <c r="K54" s="14" t="inlineStr"/>
      <c r="L54" s="14" t="inlineStr"/>
      <c r="M54" s="14" t="inlineStr"/>
    </row>
    <row r="55">
      <c r="A55" s="14" t="inlineStr">
        <is>
          <t>AI, Computing &amp; Software</t>
        </is>
      </c>
      <c r="B55" s="15" t="inlineStr">
        <is>
          <t>IEEE Transactions on Services Computing</t>
        </is>
      </c>
      <c r="C55" s="14" t="inlineStr">
        <is>
          <t>TSC</t>
        </is>
      </c>
      <c r="D55" s="14" t="inlineStr">
        <is>
          <t>Transactions</t>
        </is>
      </c>
      <c r="E55" s="14" t="inlineStr">
        <is>
          <t>Hybrid</t>
        </is>
      </c>
      <c r="F55" s="16">
        <f>INDEX('Pricing rules'!$B$4:$B$6,MATCH(E55,'Pricing rules'!$A$4:$A$6,0))</f>
        <v/>
      </c>
      <c r="G55" s="16">
        <f>ROUND(F55*(1-'Pricing rules'!$B$10),0)</f>
        <v/>
      </c>
      <c r="H55" s="14" t="inlineStr">
        <is>
          <t>Free (overlength page charges may apply)</t>
        </is>
      </c>
      <c r="I55" s="14" t="inlineStr">
        <is>
          <t>Not published</t>
        </is>
      </c>
      <c r="J55" s="14" t="inlineStr"/>
      <c r="K55" s="14" t="inlineStr"/>
      <c r="L55" s="14" t="inlineStr"/>
      <c r="M55" s="14" t="inlineStr"/>
    </row>
    <row r="56">
      <c r="A56" s="14" t="inlineStr">
        <is>
          <t>AI, Computing &amp; Software</t>
        </is>
      </c>
      <c r="B56" s="15" t="inlineStr">
        <is>
          <t>IEEE Transactions on Affective Computing</t>
        </is>
      </c>
      <c r="C56" s="14" t="inlineStr">
        <is>
          <t>TAFFC</t>
        </is>
      </c>
      <c r="D56" s="14" t="inlineStr">
        <is>
          <t>Transactions</t>
        </is>
      </c>
      <c r="E56" s="14" t="inlineStr">
        <is>
          <t>Hybrid</t>
        </is>
      </c>
      <c r="F56" s="16">
        <f>INDEX('Pricing rules'!$B$4:$B$6,MATCH(E56,'Pricing rules'!$A$4:$A$6,0))</f>
        <v/>
      </c>
      <c r="G56" s="16">
        <f>ROUND(F56*(1-'Pricing rules'!$B$10),0)</f>
        <v/>
      </c>
      <c r="H56" s="14" t="inlineStr">
        <is>
          <t>Free (overlength page charges may apply)</t>
        </is>
      </c>
      <c r="I56" s="14" t="inlineStr">
        <is>
          <t>Not published</t>
        </is>
      </c>
      <c r="J56" s="14" t="inlineStr"/>
      <c r="K56" s="14" t="inlineStr"/>
      <c r="L56" s="14" t="inlineStr"/>
      <c r="M56" s="14" t="inlineStr"/>
    </row>
    <row r="57">
      <c r="A57" s="14" t="inlineStr">
        <is>
          <t>AI, Computing &amp; Software</t>
        </is>
      </c>
      <c r="B57" s="15" t="inlineStr">
        <is>
          <t>IEEE Transactions on Learning Technologies</t>
        </is>
      </c>
      <c r="C57" s="14" t="inlineStr">
        <is>
          <t>TLT</t>
        </is>
      </c>
      <c r="D57" s="14" t="inlineStr">
        <is>
          <t>Transactions</t>
        </is>
      </c>
      <c r="E57" s="14" t="inlineStr">
        <is>
          <t>Hybrid</t>
        </is>
      </c>
      <c r="F57" s="16">
        <f>INDEX('Pricing rules'!$B$4:$B$6,MATCH(E57,'Pricing rules'!$A$4:$A$6,0))</f>
        <v/>
      </c>
      <c r="G57" s="16">
        <f>ROUND(F57*(1-'Pricing rules'!$B$10),0)</f>
        <v/>
      </c>
      <c r="H57" s="14" t="inlineStr">
        <is>
          <t>Free (overlength page charges may apply)</t>
        </is>
      </c>
      <c r="I57" s="14" t="inlineStr">
        <is>
          <t>Not published</t>
        </is>
      </c>
      <c r="J57" s="14" t="inlineStr"/>
      <c r="K57" s="14" t="inlineStr"/>
      <c r="L57" s="14" t="inlineStr"/>
      <c r="M57" s="14" t="inlineStr"/>
    </row>
    <row r="58">
      <c r="A58" s="14" t="inlineStr">
        <is>
          <t>AI, Computing &amp; Software</t>
        </is>
      </c>
      <c r="B58" s="15" t="inlineStr">
        <is>
          <t>IEEE Transactions on Emerging Topics in Computing</t>
        </is>
      </c>
      <c r="C58" s="14" t="inlineStr">
        <is>
          <t>TETC</t>
        </is>
      </c>
      <c r="D58" s="14" t="inlineStr">
        <is>
          <t>Transactions</t>
        </is>
      </c>
      <c r="E58" s="14" t="inlineStr">
        <is>
          <t>Hybrid</t>
        </is>
      </c>
      <c r="F58" s="16">
        <f>INDEX('Pricing rules'!$B$4:$B$6,MATCH(E58,'Pricing rules'!$A$4:$A$6,0))</f>
        <v/>
      </c>
      <c r="G58" s="16">
        <f>ROUND(F58*(1-'Pricing rules'!$B$10),0)</f>
        <v/>
      </c>
      <c r="H58" s="14" t="inlineStr">
        <is>
          <t>Free (overlength page charges may apply)</t>
        </is>
      </c>
      <c r="I58" s="14" t="inlineStr">
        <is>
          <t>Not published</t>
        </is>
      </c>
      <c r="J58" s="14" t="inlineStr"/>
      <c r="K58" s="14" t="inlineStr"/>
      <c r="L58" s="14" t="inlineStr"/>
      <c r="M58" s="14" t="inlineStr"/>
    </row>
    <row r="59">
      <c r="A59" s="14" t="inlineStr">
        <is>
          <t>AI, Computing &amp; Software</t>
        </is>
      </c>
      <c r="B59" s="15" t="inlineStr">
        <is>
          <t>IEEE Transactions on Sustainable Computing</t>
        </is>
      </c>
      <c r="C59" s="14" t="inlineStr">
        <is>
          <t>TSUSC</t>
        </is>
      </c>
      <c r="D59" s="14" t="inlineStr">
        <is>
          <t>Transactions</t>
        </is>
      </c>
      <c r="E59" s="14" t="inlineStr">
        <is>
          <t>Hybrid</t>
        </is>
      </c>
      <c r="F59" s="16">
        <f>INDEX('Pricing rules'!$B$4:$B$6,MATCH(E59,'Pricing rules'!$A$4:$A$6,0))</f>
        <v/>
      </c>
      <c r="G59" s="16">
        <f>ROUND(F59*(1-'Pricing rules'!$B$10),0)</f>
        <v/>
      </c>
      <c r="H59" s="14" t="inlineStr">
        <is>
          <t>Free (overlength page charges may apply)</t>
        </is>
      </c>
      <c r="I59" s="14" t="inlineStr">
        <is>
          <t>Not published</t>
        </is>
      </c>
      <c r="J59" s="14" t="inlineStr"/>
      <c r="K59" s="14" t="inlineStr"/>
      <c r="L59" s="14" t="inlineStr"/>
      <c r="M59" s="14" t="inlineStr"/>
    </row>
    <row r="60">
      <c r="A60" s="14" t="inlineStr">
        <is>
          <t>AI, Computing &amp; Software</t>
        </is>
      </c>
      <c r="B60" s="15" t="inlineStr">
        <is>
          <t>IEEE Transactions on Haptics</t>
        </is>
      </c>
      <c r="C60" s="14" t="inlineStr">
        <is>
          <t>ToH</t>
        </is>
      </c>
      <c r="D60" s="14" t="inlineStr">
        <is>
          <t>Transactions</t>
        </is>
      </c>
      <c r="E60" s="14" t="inlineStr">
        <is>
          <t>Hybrid</t>
        </is>
      </c>
      <c r="F60" s="16">
        <f>INDEX('Pricing rules'!$B$4:$B$6,MATCH(E60,'Pricing rules'!$A$4:$A$6,0))</f>
        <v/>
      </c>
      <c r="G60" s="16">
        <f>ROUND(F60*(1-'Pricing rules'!$B$10),0)</f>
        <v/>
      </c>
      <c r="H60" s="14" t="inlineStr">
        <is>
          <t>Free (overlength page charges may apply)</t>
        </is>
      </c>
      <c r="I60" s="14" t="inlineStr">
        <is>
          <t>Not published</t>
        </is>
      </c>
      <c r="J60" s="14" t="inlineStr"/>
      <c r="K60" s="14" t="inlineStr"/>
      <c r="L60" s="14" t="inlineStr"/>
      <c r="M60" s="14" t="inlineStr"/>
    </row>
    <row r="61">
      <c r="A61" s="14" t="inlineStr">
        <is>
          <t>AI, Computing &amp; Software</t>
        </is>
      </c>
      <c r="B61" s="15" t="inlineStr">
        <is>
          <t>IEEE Transactions on Human-Machine Systems</t>
        </is>
      </c>
      <c r="C61" s="14" t="inlineStr">
        <is>
          <t>THMS</t>
        </is>
      </c>
      <c r="D61" s="14" t="inlineStr">
        <is>
          <t>Transactions</t>
        </is>
      </c>
      <c r="E61" s="14" t="inlineStr">
        <is>
          <t>Hybrid</t>
        </is>
      </c>
      <c r="F61" s="16">
        <f>INDEX('Pricing rules'!$B$4:$B$6,MATCH(E61,'Pricing rules'!$A$4:$A$6,0))</f>
        <v/>
      </c>
      <c r="G61" s="16">
        <f>ROUND(F61*(1-'Pricing rules'!$B$10),0)</f>
        <v/>
      </c>
      <c r="H61" s="14" t="inlineStr">
        <is>
          <t>Free (overlength page charges may apply)</t>
        </is>
      </c>
      <c r="I61" s="14" t="inlineStr">
        <is>
          <t>Not published</t>
        </is>
      </c>
      <c r="J61" s="14" t="inlineStr"/>
      <c r="K61" s="14" t="inlineStr"/>
      <c r="L61" s="14" t="inlineStr"/>
      <c r="M61" s="14" t="inlineStr"/>
    </row>
    <row r="62">
      <c r="A62" s="14" t="inlineStr">
        <is>
          <t>AI, Computing &amp; Software</t>
        </is>
      </c>
      <c r="B62" s="15" t="inlineStr">
        <is>
          <t>IEEE Transactions on Systems, Man, and Cybernetics: Systems</t>
        </is>
      </c>
      <c r="C62" s="14" t="inlineStr">
        <is>
          <t>TSMC</t>
        </is>
      </c>
      <c r="D62" s="14" t="inlineStr">
        <is>
          <t>Transactions</t>
        </is>
      </c>
      <c r="E62" s="14" t="inlineStr">
        <is>
          <t>Hybrid</t>
        </is>
      </c>
      <c r="F62" s="16">
        <f>INDEX('Pricing rules'!$B$4:$B$6,MATCH(E62,'Pricing rules'!$A$4:$A$6,0))</f>
        <v/>
      </c>
      <c r="G62" s="16">
        <f>ROUND(F62*(1-'Pricing rules'!$B$10),0)</f>
        <v/>
      </c>
      <c r="H62" s="14" t="inlineStr">
        <is>
          <t>Free (overlength page charges may apply)</t>
        </is>
      </c>
      <c r="I62" s="14" t="inlineStr">
        <is>
          <t>Not published</t>
        </is>
      </c>
      <c r="J62" s="14" t="inlineStr"/>
      <c r="K62" s="14" t="inlineStr"/>
      <c r="L62" s="14" t="inlineStr"/>
      <c r="M62" s="14" t="inlineStr"/>
    </row>
    <row r="63">
      <c r="A63" s="14" t="inlineStr">
        <is>
          <t>AI, Computing &amp; Software</t>
        </is>
      </c>
      <c r="B63" s="15" t="inlineStr">
        <is>
          <t>IEEE Transactions on Computational Social Systems</t>
        </is>
      </c>
      <c r="C63" s="14" t="inlineStr">
        <is>
          <t>TCSS</t>
        </is>
      </c>
      <c r="D63" s="14" t="inlineStr">
        <is>
          <t>Transactions</t>
        </is>
      </c>
      <c r="E63" s="14" t="inlineStr">
        <is>
          <t>Hybrid</t>
        </is>
      </c>
      <c r="F63" s="16">
        <f>INDEX('Pricing rules'!$B$4:$B$6,MATCH(E63,'Pricing rules'!$A$4:$A$6,0))</f>
        <v/>
      </c>
      <c r="G63" s="16">
        <f>ROUND(F63*(1-'Pricing rules'!$B$10),0)</f>
        <v/>
      </c>
      <c r="H63" s="14" t="inlineStr">
        <is>
          <t>Free (overlength page charges may apply)</t>
        </is>
      </c>
      <c r="I63" s="14" t="inlineStr">
        <is>
          <t>Not published</t>
        </is>
      </c>
      <c r="J63" s="14" t="inlineStr"/>
      <c r="K63" s="14" t="inlineStr"/>
      <c r="L63" s="14" t="inlineStr"/>
      <c r="M63" s="14" t="inlineStr"/>
    </row>
    <row r="64">
      <c r="A64" s="14" t="inlineStr">
        <is>
          <t>AI, Computing &amp; Software</t>
        </is>
      </c>
      <c r="B64" s="15" t="inlineStr">
        <is>
          <t>IEEE Computer Architecture Letters</t>
        </is>
      </c>
      <c r="C64" s="14" t="inlineStr">
        <is>
          <t>CAL</t>
        </is>
      </c>
      <c r="D64" s="14" t="inlineStr">
        <is>
          <t>Letters</t>
        </is>
      </c>
      <c r="E64" s="14" t="inlineStr">
        <is>
          <t>Hybrid</t>
        </is>
      </c>
      <c r="F64" s="16">
        <f>INDEX('Pricing rules'!$B$4:$B$6,MATCH(E64,'Pricing rules'!$A$4:$A$6,0))</f>
        <v/>
      </c>
      <c r="G64" s="16">
        <f>ROUND(F64*(1-'Pricing rules'!$B$10),0)</f>
        <v/>
      </c>
      <c r="H64" s="14" t="inlineStr">
        <is>
          <t>Free (overlength page charges may apply)</t>
        </is>
      </c>
      <c r="I64" s="14" t="inlineStr">
        <is>
          <t>Not published</t>
        </is>
      </c>
      <c r="J64" s="14" t="inlineStr"/>
      <c r="K64" s="14" t="inlineStr"/>
      <c r="L64" s="14" t="inlineStr"/>
      <c r="M64" s="14" t="inlineStr"/>
    </row>
    <row r="65">
      <c r="A65" s="14" t="inlineStr">
        <is>
          <t>AI, Computing &amp; Software</t>
        </is>
      </c>
      <c r="B65" s="15" t="inlineStr">
        <is>
          <t>IEEE Embedded Systems Letters</t>
        </is>
      </c>
      <c r="C65" s="14" t="inlineStr">
        <is>
          <t>LES</t>
        </is>
      </c>
      <c r="D65" s="14" t="inlineStr">
        <is>
          <t>Letters</t>
        </is>
      </c>
      <c r="E65" s="14" t="inlineStr">
        <is>
          <t>Hybrid</t>
        </is>
      </c>
      <c r="F65" s="16">
        <f>INDEX('Pricing rules'!$B$4:$B$6,MATCH(E65,'Pricing rules'!$A$4:$A$6,0))</f>
        <v/>
      </c>
      <c r="G65" s="16">
        <f>ROUND(F65*(1-'Pricing rules'!$B$10),0)</f>
        <v/>
      </c>
      <c r="H65" s="14" t="inlineStr">
        <is>
          <t>Free (overlength page charges may apply)</t>
        </is>
      </c>
      <c r="I65" s="14" t="inlineStr">
        <is>
          <t>Not published</t>
        </is>
      </c>
      <c r="J65" s="14" t="inlineStr"/>
      <c r="K65" s="14" t="inlineStr"/>
      <c r="L65" s="14" t="inlineStr"/>
      <c r="M65" s="14" t="inlineStr"/>
    </row>
    <row r="66">
      <c r="A66" s="14" t="inlineStr">
        <is>
          <t>AI, Computing &amp; Software</t>
        </is>
      </c>
      <c r="B66" s="15" t="inlineStr">
        <is>
          <t>IEEE Open Journal of the Computer Society</t>
        </is>
      </c>
      <c r="C66" s="14" t="inlineStr">
        <is>
          <t>OJ-CS</t>
        </is>
      </c>
      <c r="D66" s="14" t="inlineStr">
        <is>
          <t>Open journal</t>
        </is>
      </c>
      <c r="E66" s="14" t="inlineStr">
        <is>
          <t>Fully open access</t>
        </is>
      </c>
      <c r="F66" s="16">
        <f>INDEX('Pricing rules'!$B$4:$B$6,MATCH(E66,'Pricing rules'!$A$4:$A$6,0))</f>
        <v/>
      </c>
      <c r="G66" s="16">
        <f>ROUND(F66*(1-'Pricing rules'!$B$10),0)</f>
        <v/>
      </c>
      <c r="H66" s="14" t="inlineStr">
        <is>
          <t>Not available — OA only</t>
        </is>
      </c>
      <c r="I66" s="14" t="inlineStr">
        <is>
          <t>Not published</t>
        </is>
      </c>
      <c r="J66" s="14" t="inlineStr"/>
      <c r="K66" s="14" t="inlineStr"/>
      <c r="L66" s="14" t="inlineStr"/>
      <c r="M66" s="14" t="inlineStr"/>
    </row>
    <row r="67">
      <c r="A67" s="14" t="inlineStr">
        <is>
          <t>AI, Computing &amp; Software</t>
        </is>
      </c>
      <c r="B67" s="15" t="inlineStr">
        <is>
          <t>IEEE Access</t>
        </is>
      </c>
      <c r="C67" s="14" t="inlineStr">
        <is>
          <t>ACCESS</t>
        </is>
      </c>
      <c r="D67" s="14" t="inlineStr">
        <is>
          <t>Open journal</t>
        </is>
      </c>
      <c r="E67" s="14" t="inlineStr">
        <is>
          <t>Fully open access</t>
        </is>
      </c>
      <c r="F67" s="16">
        <f>INDEX('Pricing rules'!$B$4:$B$6,MATCH(E67,'Pricing rules'!$A$4:$A$6,0))</f>
        <v/>
      </c>
      <c r="G67" s="16">
        <f>ROUND(F67*(1-'Pricing rules'!$B$10),0)</f>
        <v/>
      </c>
      <c r="H67" s="14" t="inlineStr">
        <is>
          <t>Not available — OA only</t>
        </is>
      </c>
      <c r="I67" s="14" t="inlineStr">
        <is>
          <t>~4 weeks to accept/reject</t>
        </is>
      </c>
      <c r="J67" s="14" t="inlineStr">
        <is>
          <t>IEEE-stated (reported by third party)</t>
        </is>
      </c>
      <c r="K67" s="17" t="inlineStr">
        <is>
          <t>https://manusights.com/blog/ieee-access-review-time</t>
        </is>
      </c>
      <c r="L67" s="14" t="inlineStr"/>
      <c r="M67" s="14" t="inlineStr">
        <is>
          <t>Multidisciplinary mega-journal. APC US$2,160 confirmed for 2026.</t>
        </is>
      </c>
    </row>
    <row r="68">
      <c r="A68" s="14" t="inlineStr">
        <is>
          <t>Antennas, Microwaves &amp; EM</t>
        </is>
      </c>
      <c r="B68" s="15" t="inlineStr">
        <is>
          <t>IEEE Transactions on Antennas and Propagation</t>
        </is>
      </c>
      <c r="C68" s="14" t="inlineStr">
        <is>
          <t>TAP</t>
        </is>
      </c>
      <c r="D68" s="14" t="inlineStr">
        <is>
          <t>Transactions</t>
        </is>
      </c>
      <c r="E68" s="14" t="inlineStr">
        <is>
          <t>Hybrid</t>
        </is>
      </c>
      <c r="F68" s="16">
        <f>INDEX('Pricing rules'!$B$4:$B$6,MATCH(E68,'Pricing rules'!$A$4:$A$6,0))</f>
        <v/>
      </c>
      <c r="G68" s="16">
        <f>ROUND(F68*(1-'Pricing rules'!$B$10),0)</f>
        <v/>
      </c>
      <c r="H68" s="14" t="inlineStr">
        <is>
          <t>Free (overlength page charges may apply)</t>
        </is>
      </c>
      <c r="I68" s="14" t="inlineStr">
        <is>
          <t>~12 weeks to first decision</t>
        </is>
      </c>
      <c r="J68" s="14" t="inlineStr">
        <is>
          <t>Official (IEEE APS FAQ, ~2024)</t>
        </is>
      </c>
      <c r="K68" s="17" t="inlineStr">
        <is>
          <t>https://ieeeaps.org/ieee-tap/for-authors/faqs</t>
        </is>
      </c>
      <c r="L68" s="14" t="inlineStr"/>
      <c r="M68" s="14" t="inlineStr"/>
    </row>
    <row r="69">
      <c r="A69" s="14" t="inlineStr">
        <is>
          <t>Antennas, Microwaves &amp; EM</t>
        </is>
      </c>
      <c r="B69" s="15" t="inlineStr">
        <is>
          <t>IEEE Antennas and Wireless Propagation Letters</t>
        </is>
      </c>
      <c r="C69" s="14" t="inlineStr">
        <is>
          <t>AWPL</t>
        </is>
      </c>
      <c r="D69" s="14" t="inlineStr">
        <is>
          <t>Letters</t>
        </is>
      </c>
      <c r="E69" s="14" t="inlineStr">
        <is>
          <t>Hybrid</t>
        </is>
      </c>
      <c r="F69" s="16">
        <f>INDEX('Pricing rules'!$B$4:$B$6,MATCH(E69,'Pricing rules'!$A$4:$A$6,0))</f>
        <v/>
      </c>
      <c r="G69" s="16">
        <f>ROUND(F69*(1-'Pricing rules'!$B$10),0)</f>
        <v/>
      </c>
      <c r="H69" s="14" t="inlineStr">
        <is>
          <t>Free (overlength page charges may apply)</t>
        </is>
      </c>
      <c r="I69" s="14" t="inlineStr">
        <is>
          <t>Not published</t>
        </is>
      </c>
      <c r="J69" s="14" t="inlineStr"/>
      <c r="K69" s="14" t="inlineStr"/>
      <c r="L69" s="14" t="inlineStr"/>
      <c r="M69" s="14" t="inlineStr"/>
    </row>
    <row r="70">
      <c r="A70" s="14" t="inlineStr">
        <is>
          <t>Antennas, Microwaves &amp; EM</t>
        </is>
      </c>
      <c r="B70" s="15" t="inlineStr">
        <is>
          <t>IEEE Open Journal of Antennas and Propagation</t>
        </is>
      </c>
      <c r="C70" s="14" t="inlineStr">
        <is>
          <t>OJAP</t>
        </is>
      </c>
      <c r="D70" s="14" t="inlineStr">
        <is>
          <t>Open journal</t>
        </is>
      </c>
      <c r="E70" s="14" t="inlineStr">
        <is>
          <t>Fully open access</t>
        </is>
      </c>
      <c r="F70" s="16">
        <f>INDEX('Pricing rules'!$B$4:$B$6,MATCH(E70,'Pricing rules'!$A$4:$A$6,0))</f>
        <v/>
      </c>
      <c r="G70" s="16">
        <f>ROUND(F70*(1-'Pricing rules'!$B$10),0)</f>
        <v/>
      </c>
      <c r="H70" s="14" t="inlineStr">
        <is>
          <t>Not available — OA only</t>
        </is>
      </c>
      <c r="I70" s="14" t="inlineStr">
        <is>
          <t>Not published</t>
        </is>
      </c>
      <c r="J70" s="14" t="inlineStr"/>
      <c r="K70" s="14" t="inlineStr"/>
      <c r="L70" s="14" t="inlineStr"/>
      <c r="M70" s="14" t="inlineStr">
        <is>
          <t>APC US$2,160 in the 2026 CONCERT list.</t>
        </is>
      </c>
    </row>
    <row r="71">
      <c r="A71" s="14" t="inlineStr">
        <is>
          <t>Antennas, Microwaves &amp; EM</t>
        </is>
      </c>
      <c r="B71" s="15" t="inlineStr">
        <is>
          <t>IEEE Journal on Multiscale and Multiphysics Computational Techniques</t>
        </is>
      </c>
      <c r="C71" s="14" t="inlineStr">
        <is>
          <t>JMMCT</t>
        </is>
      </c>
      <c r="D71" s="14" t="inlineStr">
        <is>
          <t>Journal</t>
        </is>
      </c>
      <c r="E71" s="14" t="inlineStr">
        <is>
          <t>Hybrid</t>
        </is>
      </c>
      <c r="F71" s="16">
        <f>INDEX('Pricing rules'!$B$4:$B$6,MATCH(E71,'Pricing rules'!$A$4:$A$6,0))</f>
        <v/>
      </c>
      <c r="G71" s="16">
        <f>ROUND(F71*(1-'Pricing rules'!$B$10),0)</f>
        <v/>
      </c>
      <c r="H71" s="14" t="inlineStr">
        <is>
          <t>Free (overlength page charges may apply)</t>
        </is>
      </c>
      <c r="I71" s="14" t="inlineStr">
        <is>
          <t>Not published</t>
        </is>
      </c>
      <c r="J71" s="14" t="inlineStr"/>
      <c r="K71" s="14" t="inlineStr"/>
      <c r="L71" s="14" t="inlineStr"/>
      <c r="M71" s="14" t="inlineStr"/>
    </row>
    <row r="72">
      <c r="A72" s="14" t="inlineStr">
        <is>
          <t>Antennas, Microwaves &amp; EM</t>
        </is>
      </c>
      <c r="B72" s="15" t="inlineStr">
        <is>
          <t>IEEE Transactions on Microwave Theory and Techniques</t>
        </is>
      </c>
      <c r="C72" s="14" t="inlineStr">
        <is>
          <t>TMTT</t>
        </is>
      </c>
      <c r="D72" s="14" t="inlineStr">
        <is>
          <t>Transactions</t>
        </is>
      </c>
      <c r="E72" s="14" t="inlineStr">
        <is>
          <t>Hybrid</t>
        </is>
      </c>
      <c r="F72" s="16">
        <f>INDEX('Pricing rules'!$B$4:$B$6,MATCH(E72,'Pricing rules'!$A$4:$A$6,0))</f>
        <v/>
      </c>
      <c r="G72" s="16">
        <f>ROUND(F72*(1-'Pricing rules'!$B$10),0)</f>
        <v/>
      </c>
      <c r="H72" s="14" t="inlineStr">
        <is>
          <t>Free (overlength page charges may apply)</t>
        </is>
      </c>
      <c r="I72" s="14" t="inlineStr">
        <is>
          <t>Not published</t>
        </is>
      </c>
      <c r="J72" s="14" t="inlineStr"/>
      <c r="K72" s="14" t="inlineStr"/>
      <c r="L72" s="14" t="inlineStr"/>
      <c r="M72" s="14" t="inlineStr"/>
    </row>
    <row r="73">
      <c r="A73" s="14" t="inlineStr">
        <is>
          <t>Antennas, Microwaves &amp; EM</t>
        </is>
      </c>
      <c r="B73" s="15" t="inlineStr">
        <is>
          <t>IEEE Microwave and Wireless Technology Letters</t>
        </is>
      </c>
      <c r="C73" s="14" t="inlineStr">
        <is>
          <t>MWTL</t>
        </is>
      </c>
      <c r="D73" s="14" t="inlineStr">
        <is>
          <t>Letters</t>
        </is>
      </c>
      <c r="E73" s="14" t="inlineStr">
        <is>
          <t>Hybrid</t>
        </is>
      </c>
      <c r="F73" s="16">
        <f>INDEX('Pricing rules'!$B$4:$B$6,MATCH(E73,'Pricing rules'!$A$4:$A$6,0))</f>
        <v/>
      </c>
      <c r="G73" s="16">
        <f>ROUND(F73*(1-'Pricing rules'!$B$10),0)</f>
        <v/>
      </c>
      <c r="H73" s="14" t="inlineStr">
        <is>
          <t>Free (overlength page charges may apply)</t>
        </is>
      </c>
      <c r="I73" s="14" t="inlineStr">
        <is>
          <t>Not published</t>
        </is>
      </c>
      <c r="J73" s="14" t="inlineStr"/>
      <c r="K73" s="14" t="inlineStr"/>
      <c r="L73" s="14" t="inlineStr"/>
      <c r="M73" s="14" t="inlineStr"/>
    </row>
    <row r="74">
      <c r="A74" s="14" t="inlineStr">
        <is>
          <t>Antennas, Microwaves &amp; EM</t>
        </is>
      </c>
      <c r="B74" s="15" t="inlineStr">
        <is>
          <t>IEEE Journal of Microwaves</t>
        </is>
      </c>
      <c r="C74" s="14" t="inlineStr">
        <is>
          <t>JMW</t>
        </is>
      </c>
      <c r="D74" s="14" t="inlineStr">
        <is>
          <t>Journal</t>
        </is>
      </c>
      <c r="E74" s="14" t="inlineStr">
        <is>
          <t>Fully open access</t>
        </is>
      </c>
      <c r="F74" s="16">
        <f>INDEX('Pricing rules'!$B$4:$B$6,MATCH(E74,'Pricing rules'!$A$4:$A$6,0))</f>
        <v/>
      </c>
      <c r="G74" s="16">
        <f>ROUND(F74*(1-'Pricing rules'!$B$10),0)</f>
        <v/>
      </c>
      <c r="H74" s="14" t="inlineStr">
        <is>
          <t>Not available — OA only</t>
        </is>
      </c>
      <c r="I74" s="14" t="inlineStr">
        <is>
          <t>Not published</t>
        </is>
      </c>
      <c r="J74" s="14" t="inlineStr"/>
      <c r="K74" s="14" t="inlineStr"/>
      <c r="L74" s="14" t="inlineStr"/>
      <c r="M74" s="14" t="inlineStr"/>
    </row>
    <row r="75">
      <c r="A75" s="14" t="inlineStr">
        <is>
          <t>Antennas, Microwaves &amp; EM</t>
        </is>
      </c>
      <c r="B75" s="15" t="inlineStr">
        <is>
          <t>IEEE Transactions on Terahertz Science and Technology</t>
        </is>
      </c>
      <c r="C75" s="14" t="inlineStr">
        <is>
          <t>TTHZ</t>
        </is>
      </c>
      <c r="D75" s="14" t="inlineStr">
        <is>
          <t>Transactions</t>
        </is>
      </c>
      <c r="E75" s="14" t="inlineStr">
        <is>
          <t>Hybrid</t>
        </is>
      </c>
      <c r="F75" s="16">
        <f>INDEX('Pricing rules'!$B$4:$B$6,MATCH(E75,'Pricing rules'!$A$4:$A$6,0))</f>
        <v/>
      </c>
      <c r="G75" s="16">
        <f>ROUND(F75*(1-'Pricing rules'!$B$10),0)</f>
        <v/>
      </c>
      <c r="H75" s="14" t="inlineStr">
        <is>
          <t>Free (overlength page charges may apply)</t>
        </is>
      </c>
      <c r="I75" s="14" t="inlineStr">
        <is>
          <t>Not published</t>
        </is>
      </c>
      <c r="J75" s="14" t="inlineStr"/>
      <c r="K75" s="14" t="inlineStr"/>
      <c r="L75" s="14" t="inlineStr"/>
      <c r="M75" s="14" t="inlineStr"/>
    </row>
    <row r="76">
      <c r="A76" s="14" t="inlineStr">
        <is>
          <t>Antennas, Microwaves &amp; EM</t>
        </is>
      </c>
      <c r="B76" s="15" t="inlineStr">
        <is>
          <t>IEEE Journal of Electromagnetics, RF and Microwaves in Medicine and Biology</t>
        </is>
      </c>
      <c r="C76" s="14" t="inlineStr">
        <is>
          <t>J-ERM</t>
        </is>
      </c>
      <c r="D76" s="14" t="inlineStr">
        <is>
          <t>Journal</t>
        </is>
      </c>
      <c r="E76" s="14" t="inlineStr">
        <is>
          <t>Hybrid</t>
        </is>
      </c>
      <c r="F76" s="16">
        <f>INDEX('Pricing rules'!$B$4:$B$6,MATCH(E76,'Pricing rules'!$A$4:$A$6,0))</f>
        <v/>
      </c>
      <c r="G76" s="16">
        <f>ROUND(F76*(1-'Pricing rules'!$B$10),0)</f>
        <v/>
      </c>
      <c r="H76" s="14" t="inlineStr">
        <is>
          <t>Free (overlength page charges may apply)</t>
        </is>
      </c>
      <c r="I76" s="14" t="inlineStr">
        <is>
          <t>Not published</t>
        </is>
      </c>
      <c r="J76" s="14" t="inlineStr"/>
      <c r="K76" s="14" t="inlineStr"/>
      <c r="L76" s="14" t="inlineStr"/>
      <c r="M76" s="14" t="inlineStr"/>
    </row>
    <row r="77">
      <c r="A77" s="14" t="inlineStr">
        <is>
          <t>Antennas, Microwaves &amp; EM</t>
        </is>
      </c>
      <c r="B77" s="15" t="inlineStr">
        <is>
          <t>IEEE Transactions on Electromagnetic Compatibility</t>
        </is>
      </c>
      <c r="C77" s="14" t="inlineStr">
        <is>
          <t>TEMC</t>
        </is>
      </c>
      <c r="D77" s="14" t="inlineStr">
        <is>
          <t>Transactions</t>
        </is>
      </c>
      <c r="E77" s="14" t="inlineStr">
        <is>
          <t>Hybrid</t>
        </is>
      </c>
      <c r="F77" s="16">
        <f>INDEX('Pricing rules'!$B$4:$B$6,MATCH(E77,'Pricing rules'!$A$4:$A$6,0))</f>
        <v/>
      </c>
      <c r="G77" s="16">
        <f>ROUND(F77*(1-'Pricing rules'!$B$10),0)</f>
        <v/>
      </c>
      <c r="H77" s="14" t="inlineStr">
        <is>
          <t>Free (overlength page charges may apply)</t>
        </is>
      </c>
      <c r="I77" s="14" t="inlineStr">
        <is>
          <t>Not published</t>
        </is>
      </c>
      <c r="J77" s="14" t="inlineStr"/>
      <c r="K77" s="14" t="inlineStr"/>
      <c r="L77" s="14" t="inlineStr"/>
      <c r="M77" s="14" t="inlineStr"/>
    </row>
    <row r="78">
      <c r="A78" s="14" t="inlineStr">
        <is>
          <t>Antennas, Microwaves &amp; EM</t>
        </is>
      </c>
      <c r="B78" s="15" t="inlineStr">
        <is>
          <t>IEEE Letters on Electromagnetic Compatibility Practice and Applications</t>
        </is>
      </c>
      <c r="C78" s="14" t="inlineStr">
        <is>
          <t>L-EMCPA</t>
        </is>
      </c>
      <c r="D78" s="14" t="inlineStr">
        <is>
          <t>Letters</t>
        </is>
      </c>
      <c r="E78" s="14" t="inlineStr">
        <is>
          <t>Hybrid</t>
        </is>
      </c>
      <c r="F78" s="16">
        <f>INDEX('Pricing rules'!$B$4:$B$6,MATCH(E78,'Pricing rules'!$A$4:$A$6,0))</f>
        <v/>
      </c>
      <c r="G78" s="16">
        <f>ROUND(F78*(1-'Pricing rules'!$B$10),0)</f>
        <v/>
      </c>
      <c r="H78" s="14" t="inlineStr">
        <is>
          <t>Free (overlength page charges may apply)</t>
        </is>
      </c>
      <c r="I78" s="14" t="inlineStr">
        <is>
          <t>Not published</t>
        </is>
      </c>
      <c r="J78" s="14" t="inlineStr"/>
      <c r="K78" s="14" t="inlineStr"/>
      <c r="L78" s="14" t="inlineStr"/>
      <c r="M78" s="14" t="inlineStr"/>
    </row>
    <row r="79">
      <c r="A79" s="14" t="inlineStr">
        <is>
          <t>Antennas, Microwaves &amp; EM</t>
        </is>
      </c>
      <c r="B79" s="15" t="inlineStr">
        <is>
          <t>IEEE Transactions on Magnetics</t>
        </is>
      </c>
      <c r="C79" s="14" t="inlineStr">
        <is>
          <t>TMAG</t>
        </is>
      </c>
      <c r="D79" s="14" t="inlineStr">
        <is>
          <t>Transactions</t>
        </is>
      </c>
      <c r="E79" s="14" t="inlineStr">
        <is>
          <t>Hybrid</t>
        </is>
      </c>
      <c r="F79" s="16">
        <f>INDEX('Pricing rules'!$B$4:$B$6,MATCH(E79,'Pricing rules'!$A$4:$A$6,0))</f>
        <v/>
      </c>
      <c r="G79" s="16">
        <f>ROUND(F79*(1-'Pricing rules'!$B$10),0)</f>
        <v/>
      </c>
      <c r="H79" s="14" t="inlineStr">
        <is>
          <t>Free (overlength page charges may apply)</t>
        </is>
      </c>
      <c r="I79" s="14" t="inlineStr">
        <is>
          <t>Not published</t>
        </is>
      </c>
      <c r="J79" s="14" t="inlineStr"/>
      <c r="K79" s="14" t="inlineStr"/>
      <c r="L79" s="14" t="inlineStr"/>
      <c r="M79" s="14" t="inlineStr"/>
    </row>
    <row r="80">
      <c r="A80" s="14" t="inlineStr">
        <is>
          <t>Antennas, Microwaves &amp; EM</t>
        </is>
      </c>
      <c r="B80" s="15" t="inlineStr">
        <is>
          <t>IEEE Magnetics Letters</t>
        </is>
      </c>
      <c r="C80" s="14" t="inlineStr">
        <is>
          <t>LMAG</t>
        </is>
      </c>
      <c r="D80" s="14" t="inlineStr">
        <is>
          <t>Letters</t>
        </is>
      </c>
      <c r="E80" s="14" t="inlineStr">
        <is>
          <t>Hybrid</t>
        </is>
      </c>
      <c r="F80" s="16">
        <f>INDEX('Pricing rules'!$B$4:$B$6,MATCH(E80,'Pricing rules'!$A$4:$A$6,0))</f>
        <v/>
      </c>
      <c r="G80" s="16">
        <f>ROUND(F80*(1-'Pricing rules'!$B$10),0)</f>
        <v/>
      </c>
      <c r="H80" s="14" t="inlineStr">
        <is>
          <t>Free (overlength page charges may apply)</t>
        </is>
      </c>
      <c r="I80" s="14" t="inlineStr">
        <is>
          <t>Not published</t>
        </is>
      </c>
      <c r="J80" s="14" t="inlineStr"/>
      <c r="K80" s="14" t="inlineStr"/>
      <c r="L80" s="14" t="inlineStr"/>
      <c r="M80" s="14" t="inlineStr"/>
    </row>
    <row r="81">
      <c r="A81" s="14" t="inlineStr">
        <is>
          <t>Photonics, Quantum &amp; Plasma</t>
        </is>
      </c>
      <c r="B81" s="15" t="inlineStr">
        <is>
          <t>IEEE Photonics Journal</t>
        </is>
      </c>
      <c r="C81" s="14" t="inlineStr">
        <is>
          <t>PJ</t>
        </is>
      </c>
      <c r="D81" s="14" t="inlineStr">
        <is>
          <t>Journal</t>
        </is>
      </c>
      <c r="E81" s="14" t="inlineStr">
        <is>
          <t>Fully open access</t>
        </is>
      </c>
      <c r="F81" s="16">
        <f>INDEX('Pricing rules'!$B$4:$B$6,MATCH(E81,'Pricing rules'!$A$4:$A$6,0))</f>
        <v/>
      </c>
      <c r="G81" s="16">
        <f>ROUND(F81*(1-'Pricing rules'!$B$10),0)</f>
        <v/>
      </c>
      <c r="H81" s="14" t="inlineStr">
        <is>
          <t>Not available — OA only</t>
        </is>
      </c>
      <c r="I81" s="14" t="inlineStr">
        <is>
          <t>Not published</t>
        </is>
      </c>
      <c r="J81" s="14" t="inlineStr"/>
      <c r="K81" s="14" t="inlineStr"/>
      <c r="L81" s="14" t="inlineStr"/>
      <c r="M81" s="14" t="inlineStr"/>
    </row>
    <row r="82">
      <c r="A82" s="14" t="inlineStr">
        <is>
          <t>Photonics, Quantum &amp; Plasma</t>
        </is>
      </c>
      <c r="B82" s="15" t="inlineStr">
        <is>
          <t>IEEE Photonics Technology Letters</t>
        </is>
      </c>
      <c r="C82" s="14" t="inlineStr">
        <is>
          <t>PTL</t>
        </is>
      </c>
      <c r="D82" s="14" t="inlineStr">
        <is>
          <t>Letters</t>
        </is>
      </c>
      <c r="E82" s="14" t="inlineStr">
        <is>
          <t>Hybrid</t>
        </is>
      </c>
      <c r="F82" s="16">
        <f>INDEX('Pricing rules'!$B$4:$B$6,MATCH(E82,'Pricing rules'!$A$4:$A$6,0))</f>
        <v/>
      </c>
      <c r="G82" s="16">
        <f>ROUND(F82*(1-'Pricing rules'!$B$10),0)</f>
        <v/>
      </c>
      <c r="H82" s="14" t="inlineStr">
        <is>
          <t>Free (overlength page charges may apply)</t>
        </is>
      </c>
      <c r="I82" s="14" t="inlineStr">
        <is>
          <t>Not published</t>
        </is>
      </c>
      <c r="J82" s="14" t="inlineStr"/>
      <c r="K82" s="14" t="inlineStr"/>
      <c r="L82" s="14" t="inlineStr"/>
      <c r="M82" s="14" t="inlineStr"/>
    </row>
    <row r="83">
      <c r="A83" s="14" t="inlineStr">
        <is>
          <t>Photonics, Quantum &amp; Plasma</t>
        </is>
      </c>
      <c r="B83" s="15" t="inlineStr">
        <is>
          <t>IEEE Journal of Quantum Electronics</t>
        </is>
      </c>
      <c r="C83" s="14" t="inlineStr">
        <is>
          <t>JQE</t>
        </is>
      </c>
      <c r="D83" s="14" t="inlineStr">
        <is>
          <t>Journal</t>
        </is>
      </c>
      <c r="E83" s="14" t="inlineStr">
        <is>
          <t>Hybrid</t>
        </is>
      </c>
      <c r="F83" s="16">
        <f>INDEX('Pricing rules'!$B$4:$B$6,MATCH(E83,'Pricing rules'!$A$4:$A$6,0))</f>
        <v/>
      </c>
      <c r="G83" s="16">
        <f>ROUND(F83*(1-'Pricing rules'!$B$10),0)</f>
        <v/>
      </c>
      <c r="H83" s="14" t="inlineStr">
        <is>
          <t>Free (overlength page charges may apply)</t>
        </is>
      </c>
      <c r="I83" s="14" t="inlineStr">
        <is>
          <t>Not published</t>
        </is>
      </c>
      <c r="J83" s="14" t="inlineStr"/>
      <c r="K83" s="14" t="inlineStr"/>
      <c r="L83" s="14" t="inlineStr"/>
      <c r="M83" s="14" t="inlineStr"/>
    </row>
    <row r="84">
      <c r="A84" s="14" t="inlineStr">
        <is>
          <t>Photonics, Quantum &amp; Plasma</t>
        </is>
      </c>
      <c r="B84" s="15" t="inlineStr">
        <is>
          <t>IEEE Journal of Selected Topics in Quantum Electronics</t>
        </is>
      </c>
      <c r="C84" s="14" t="inlineStr">
        <is>
          <t>JSTQE</t>
        </is>
      </c>
      <c r="D84" s="14" t="inlineStr">
        <is>
          <t>Journal</t>
        </is>
      </c>
      <c r="E84" s="14" t="inlineStr">
        <is>
          <t>Hybrid</t>
        </is>
      </c>
      <c r="F84" s="16">
        <f>INDEX('Pricing rules'!$B$4:$B$6,MATCH(E84,'Pricing rules'!$A$4:$A$6,0))</f>
        <v/>
      </c>
      <c r="G84" s="16">
        <f>ROUND(F84*(1-'Pricing rules'!$B$10),0)</f>
        <v/>
      </c>
      <c r="H84" s="14" t="inlineStr">
        <is>
          <t>Free (overlength page charges may apply)</t>
        </is>
      </c>
      <c r="I84" s="14" t="inlineStr">
        <is>
          <t>Not published</t>
        </is>
      </c>
      <c r="J84" s="14" t="inlineStr"/>
      <c r="K84" s="14" t="inlineStr"/>
      <c r="L84" s="14" t="inlineStr"/>
      <c r="M84" s="14" t="inlineStr"/>
    </row>
    <row r="85">
      <c r="A85" s="14" t="inlineStr">
        <is>
          <t>Photonics, Quantum &amp; Plasma</t>
        </is>
      </c>
      <c r="B85" s="15" t="inlineStr">
        <is>
          <t>Journal of Lightwave Technology (IEEE/Optica)</t>
        </is>
      </c>
      <c r="C85" s="14" t="inlineStr">
        <is>
          <t>JLT</t>
        </is>
      </c>
      <c r="D85" s="14" t="inlineStr">
        <is>
          <t>Journal</t>
        </is>
      </c>
      <c r="E85" s="14" t="inlineStr">
        <is>
          <t>Hybrid</t>
        </is>
      </c>
      <c r="F85" s="16">
        <f>INDEX('Pricing rules'!$B$4:$B$6,MATCH(E85,'Pricing rules'!$A$4:$A$6,0))</f>
        <v/>
      </c>
      <c r="G85" s="16">
        <f>ROUND(F85*(1-'Pricing rules'!$B$10),0)</f>
        <v/>
      </c>
      <c r="H85" s="14" t="inlineStr">
        <is>
          <t>Free (overlength page charges may apply)</t>
        </is>
      </c>
      <c r="I85" s="14" t="inlineStr">
        <is>
          <t>Not published</t>
        </is>
      </c>
      <c r="J85" s="14" t="inlineStr"/>
      <c r="K85" s="14" t="inlineStr"/>
      <c r="L85" s="14" t="inlineStr"/>
      <c r="M85" s="14" t="inlineStr"/>
    </row>
    <row r="86">
      <c r="A86" s="14" t="inlineStr">
        <is>
          <t>Photonics, Quantum &amp; Plasma</t>
        </is>
      </c>
      <c r="B86" s="15" t="inlineStr">
        <is>
          <t>IEEE Transactions on Quantum Engineering</t>
        </is>
      </c>
      <c r="C86" s="14" t="inlineStr">
        <is>
          <t>TQE</t>
        </is>
      </c>
      <c r="D86" s="14" t="inlineStr">
        <is>
          <t>Transactions</t>
        </is>
      </c>
      <c r="E86" s="14" t="inlineStr">
        <is>
          <t>Fully open access</t>
        </is>
      </c>
      <c r="F86" s="16">
        <f>INDEX('Pricing rules'!$B$4:$B$6,MATCH(E86,'Pricing rules'!$A$4:$A$6,0))</f>
        <v/>
      </c>
      <c r="G86" s="16">
        <f>ROUND(F86*(1-'Pricing rules'!$B$10),0)</f>
        <v/>
      </c>
      <c r="H86" s="14" t="inlineStr">
        <is>
          <t>Not available — OA only</t>
        </is>
      </c>
      <c r="I86" s="14" t="inlineStr">
        <is>
          <t>Not published</t>
        </is>
      </c>
      <c r="J86" s="14" t="inlineStr"/>
      <c r="K86" s="14" t="inlineStr"/>
      <c r="L86" s="14" t="inlineStr"/>
      <c r="M86" s="14" t="inlineStr"/>
    </row>
    <row r="87">
      <c r="A87" s="14" t="inlineStr">
        <is>
          <t>Photonics, Quantum &amp; Plasma</t>
        </is>
      </c>
      <c r="B87" s="15" t="inlineStr">
        <is>
          <t>IEEE Transactions on Plasma Science</t>
        </is>
      </c>
      <c r="C87" s="14" t="inlineStr">
        <is>
          <t>TPS</t>
        </is>
      </c>
      <c r="D87" s="14" t="inlineStr">
        <is>
          <t>Transactions</t>
        </is>
      </c>
      <c r="E87" s="14" t="inlineStr">
        <is>
          <t>Hybrid</t>
        </is>
      </c>
      <c r="F87" s="16">
        <f>INDEX('Pricing rules'!$B$4:$B$6,MATCH(E87,'Pricing rules'!$A$4:$A$6,0))</f>
        <v/>
      </c>
      <c r="G87" s="16">
        <f>ROUND(F87*(1-'Pricing rules'!$B$10),0)</f>
        <v/>
      </c>
      <c r="H87" s="14" t="inlineStr">
        <is>
          <t>Free (overlength page charges may apply)</t>
        </is>
      </c>
      <c r="I87" s="14" t="inlineStr">
        <is>
          <t>Not published</t>
        </is>
      </c>
      <c r="J87" s="14" t="inlineStr"/>
      <c r="K87" s="14" t="inlineStr"/>
      <c r="L87" s="14" t="inlineStr"/>
      <c r="M87" s="14" t="inlineStr"/>
    </row>
    <row r="88">
      <c r="A88" s="14" t="inlineStr">
        <is>
          <t>Photonics, Quantum &amp; Plasma</t>
        </is>
      </c>
      <c r="B88" s="15" t="inlineStr">
        <is>
          <t>IEEE Transactions on Applied Superconductivity</t>
        </is>
      </c>
      <c r="C88" s="14" t="inlineStr">
        <is>
          <t>TASC</t>
        </is>
      </c>
      <c r="D88" s="14" t="inlineStr">
        <is>
          <t>Transactions</t>
        </is>
      </c>
      <c r="E88" s="14" t="inlineStr">
        <is>
          <t>Hybrid</t>
        </is>
      </c>
      <c r="F88" s="16">
        <f>INDEX('Pricing rules'!$B$4:$B$6,MATCH(E88,'Pricing rules'!$A$4:$A$6,0))</f>
        <v/>
      </c>
      <c r="G88" s="16">
        <f>ROUND(F88*(1-'Pricing rules'!$B$10),0)</f>
        <v/>
      </c>
      <c r="H88" s="14" t="inlineStr">
        <is>
          <t>Free (overlength page charges may apply)</t>
        </is>
      </c>
      <c r="I88" s="14" t="inlineStr">
        <is>
          <t>Not published</t>
        </is>
      </c>
      <c r="J88" s="14" t="inlineStr"/>
      <c r="K88" s="14" t="inlineStr"/>
      <c r="L88" s="14" t="inlineStr"/>
      <c r="M88" s="14" t="inlineStr"/>
    </row>
    <row r="89">
      <c r="A89" s="14" t="inlineStr">
        <is>
          <t>Photonics, Quantum &amp; Plasma</t>
        </is>
      </c>
      <c r="B89" s="15" t="inlineStr">
        <is>
          <t>IEEE Transactions on Nuclear Science</t>
        </is>
      </c>
      <c r="C89" s="14" t="inlineStr">
        <is>
          <t>TNS</t>
        </is>
      </c>
      <c r="D89" s="14" t="inlineStr">
        <is>
          <t>Transactions</t>
        </is>
      </c>
      <c r="E89" s="14" t="inlineStr">
        <is>
          <t>Hybrid</t>
        </is>
      </c>
      <c r="F89" s="16">
        <f>INDEX('Pricing rules'!$B$4:$B$6,MATCH(E89,'Pricing rules'!$A$4:$A$6,0))</f>
        <v/>
      </c>
      <c r="G89" s="16">
        <f>ROUND(F89*(1-'Pricing rules'!$B$10),0)</f>
        <v/>
      </c>
      <c r="H89" s="14" t="inlineStr">
        <is>
          <t>Free (overlength page charges may apply)</t>
        </is>
      </c>
      <c r="I89" s="14" t="inlineStr">
        <is>
          <t>Not published</t>
        </is>
      </c>
      <c r="J89" s="14" t="inlineStr"/>
      <c r="K89" s="14" t="inlineStr"/>
      <c r="L89" s="14" t="inlineStr"/>
      <c r="M89" s="14" t="inlineStr"/>
    </row>
    <row r="90">
      <c r="A90" s="14" t="inlineStr">
        <is>
          <t>Geoscience, Remote Sensing &amp; Ocean</t>
        </is>
      </c>
      <c r="B90" s="15" t="inlineStr">
        <is>
          <t>IEEE Transactions on Geoscience and Remote Sensing</t>
        </is>
      </c>
      <c r="C90" s="14" t="inlineStr">
        <is>
          <t>TGRS</t>
        </is>
      </c>
      <c r="D90" s="14" t="inlineStr">
        <is>
          <t>Transactions</t>
        </is>
      </c>
      <c r="E90" s="14" t="inlineStr">
        <is>
          <t>Hybrid</t>
        </is>
      </c>
      <c r="F90" s="16">
        <f>INDEX('Pricing rules'!$B$4:$B$6,MATCH(E90,'Pricing rules'!$A$4:$A$6,0))</f>
        <v/>
      </c>
      <c r="G90" s="16">
        <f>ROUND(F90*(1-'Pricing rules'!$B$10),0)</f>
        <v/>
      </c>
      <c r="H90" s="14" t="inlineStr">
        <is>
          <t>Free (overlength page charges may apply)</t>
        </is>
      </c>
      <c r="I90" s="14" t="inlineStr">
        <is>
          <t>Not published</t>
        </is>
      </c>
      <c r="J90" s="14" t="inlineStr"/>
      <c r="K90" s="14" t="inlineStr"/>
      <c r="L90" s="14" t="inlineStr"/>
      <c r="M90" s="14" t="inlineStr">
        <is>
          <t>Overlength charge US$230/page beyond 10 pages (2026).</t>
        </is>
      </c>
    </row>
    <row r="91">
      <c r="A91" s="14" t="inlineStr">
        <is>
          <t>Geoscience, Remote Sensing &amp; Ocean</t>
        </is>
      </c>
      <c r="B91" s="15" t="inlineStr">
        <is>
          <t>IEEE Geoscience and Remote Sensing Letters</t>
        </is>
      </c>
      <c r="C91" s="14" t="inlineStr">
        <is>
          <t>GRSL</t>
        </is>
      </c>
      <c r="D91" s="14" t="inlineStr">
        <is>
          <t>Letters</t>
        </is>
      </c>
      <c r="E91" s="14" t="inlineStr">
        <is>
          <t>Hybrid</t>
        </is>
      </c>
      <c r="F91" s="16">
        <f>INDEX('Pricing rules'!$B$4:$B$6,MATCH(E91,'Pricing rules'!$A$4:$A$6,0))</f>
        <v/>
      </c>
      <c r="G91" s="16">
        <f>ROUND(F91*(1-'Pricing rules'!$B$10),0)</f>
        <v/>
      </c>
      <c r="H91" s="14" t="inlineStr">
        <is>
          <t>Free (overlength page charges may apply)</t>
        </is>
      </c>
      <c r="I91" s="14" t="inlineStr">
        <is>
          <t>Not published</t>
        </is>
      </c>
      <c r="J91" s="14" t="inlineStr"/>
      <c r="K91" s="14" t="inlineStr"/>
      <c r="L91" s="14" t="inlineStr"/>
      <c r="M91" s="14" t="inlineStr"/>
    </row>
    <row r="92">
      <c r="A92" s="14" t="inlineStr">
        <is>
          <t>Geoscience, Remote Sensing &amp; Ocean</t>
        </is>
      </c>
      <c r="B92" s="15" t="inlineStr">
        <is>
          <t>IEEE Journal of Selected Topics in Applied Earth Observations and Remote Sensing</t>
        </is>
      </c>
      <c r="C92" s="14" t="inlineStr">
        <is>
          <t>JSTARS</t>
        </is>
      </c>
      <c r="D92" s="14" t="inlineStr">
        <is>
          <t>Journal</t>
        </is>
      </c>
      <c r="E92" s="14" t="inlineStr">
        <is>
          <t>Fully open access</t>
        </is>
      </c>
      <c r="F92" s="16">
        <f>INDEX('Pricing rules'!$B$4:$B$6,MATCH(E92,'Pricing rules'!$A$4:$A$6,0))</f>
        <v/>
      </c>
      <c r="G92" s="16">
        <f>ROUND(F92*(1-'Pricing rules'!$B$10),0)</f>
        <v/>
      </c>
      <c r="H92" s="14" t="inlineStr">
        <is>
          <t>Not available — OA only</t>
        </is>
      </c>
      <c r="I92" s="14" t="inlineStr">
        <is>
          <t>Not published</t>
        </is>
      </c>
      <c r="J92" s="14" t="inlineStr"/>
      <c r="K92" s="14" t="inlineStr"/>
      <c r="L92" s="14" t="inlineStr"/>
      <c r="M92" s="14" t="inlineStr"/>
    </row>
    <row r="93">
      <c r="A93" s="14" t="inlineStr">
        <is>
          <t>Geoscience, Remote Sensing &amp; Ocean</t>
        </is>
      </c>
      <c r="B93" s="15" t="inlineStr">
        <is>
          <t>IEEE Journal of Oceanic Engineering</t>
        </is>
      </c>
      <c r="C93" s="14" t="inlineStr">
        <is>
          <t>JOE</t>
        </is>
      </c>
      <c r="D93" s="14" t="inlineStr">
        <is>
          <t>Journal</t>
        </is>
      </c>
      <c r="E93" s="14" t="inlineStr">
        <is>
          <t>Hybrid</t>
        </is>
      </c>
      <c r="F93" s="16">
        <f>INDEX('Pricing rules'!$B$4:$B$6,MATCH(E93,'Pricing rules'!$A$4:$A$6,0))</f>
        <v/>
      </c>
      <c r="G93" s="16">
        <f>ROUND(F93*(1-'Pricing rules'!$B$10),0)</f>
        <v/>
      </c>
      <c r="H93" s="14" t="inlineStr">
        <is>
          <t>Free (overlength page charges may apply)</t>
        </is>
      </c>
      <c r="I93" s="14" t="inlineStr">
        <is>
          <t>Not published</t>
        </is>
      </c>
      <c r="J93" s="14" t="inlineStr"/>
      <c r="K93" s="14" t="inlineStr"/>
      <c r="L93" s="14" t="inlineStr"/>
      <c r="M93" s="14" t="inlineStr"/>
    </row>
    <row r="94">
      <c r="A94" s="14" t="inlineStr">
        <is>
          <t>Circuits, Devices &amp; Semiconductors</t>
        </is>
      </c>
      <c r="B94" s="15" t="inlineStr">
        <is>
          <t>IEEE Transactions on Circuits and Systems I: Regular Papers</t>
        </is>
      </c>
      <c r="C94" s="14" t="inlineStr">
        <is>
          <t>TCAS-I</t>
        </is>
      </c>
      <c r="D94" s="14" t="inlineStr">
        <is>
          <t>Transactions</t>
        </is>
      </c>
      <c r="E94" s="14" t="inlineStr">
        <is>
          <t>Hybrid</t>
        </is>
      </c>
      <c r="F94" s="16">
        <f>INDEX('Pricing rules'!$B$4:$B$6,MATCH(E94,'Pricing rules'!$A$4:$A$6,0))</f>
        <v/>
      </c>
      <c r="G94" s="16">
        <f>ROUND(F94*(1-'Pricing rules'!$B$10),0)</f>
        <v/>
      </c>
      <c r="H94" s="14" t="inlineStr">
        <is>
          <t>Free (overlength page charges may apply)</t>
        </is>
      </c>
      <c r="I94" s="14" t="inlineStr">
        <is>
          <t>Not published</t>
        </is>
      </c>
      <c r="J94" s="14" t="inlineStr"/>
      <c r="K94" s="14" t="inlineStr"/>
      <c r="L94" s="14" t="inlineStr"/>
      <c r="M94" s="14" t="inlineStr"/>
    </row>
    <row r="95">
      <c r="A95" s="14" t="inlineStr">
        <is>
          <t>Circuits, Devices &amp; Semiconductors</t>
        </is>
      </c>
      <c r="B95" s="15" t="inlineStr">
        <is>
          <t>IEEE Transactions on Circuits and Systems II: Express Briefs</t>
        </is>
      </c>
      <c r="C95" s="14" t="inlineStr">
        <is>
          <t>TCAS-II</t>
        </is>
      </c>
      <c r="D95" s="14" t="inlineStr">
        <is>
          <t>Transactions</t>
        </is>
      </c>
      <c r="E95" s="14" t="inlineStr">
        <is>
          <t>Hybrid</t>
        </is>
      </c>
      <c r="F95" s="16">
        <f>INDEX('Pricing rules'!$B$4:$B$6,MATCH(E95,'Pricing rules'!$A$4:$A$6,0))</f>
        <v/>
      </c>
      <c r="G95" s="16">
        <f>ROUND(F95*(1-'Pricing rules'!$B$10),0)</f>
        <v/>
      </c>
      <c r="H95" s="14" t="inlineStr">
        <is>
          <t>Free (overlength page charges may apply)</t>
        </is>
      </c>
      <c r="I95" s="14" t="inlineStr">
        <is>
          <t>Not published</t>
        </is>
      </c>
      <c r="J95" s="14" t="inlineStr"/>
      <c r="K95" s="14" t="inlineStr"/>
      <c r="L95" s="14" t="inlineStr"/>
      <c r="M95" s="14" t="inlineStr"/>
    </row>
    <row r="96">
      <c r="A96" s="14" t="inlineStr">
        <is>
          <t>Circuits, Devices &amp; Semiconductors</t>
        </is>
      </c>
      <c r="B96" s="15" t="inlineStr">
        <is>
          <t>IEEE Journal on Emerging and Selected Topics in Circuits and Systems</t>
        </is>
      </c>
      <c r="C96" s="14" t="inlineStr">
        <is>
          <t>JETCAS</t>
        </is>
      </c>
      <c r="D96" s="14" t="inlineStr">
        <is>
          <t>Journal</t>
        </is>
      </c>
      <c r="E96" s="14" t="inlineStr">
        <is>
          <t>Hybrid</t>
        </is>
      </c>
      <c r="F96" s="16">
        <f>INDEX('Pricing rules'!$B$4:$B$6,MATCH(E96,'Pricing rules'!$A$4:$A$6,0))</f>
        <v/>
      </c>
      <c r="G96" s="16">
        <f>ROUND(F96*(1-'Pricing rules'!$B$10),0)</f>
        <v/>
      </c>
      <c r="H96" s="14" t="inlineStr">
        <is>
          <t>Free (overlength page charges may apply)</t>
        </is>
      </c>
      <c r="I96" s="14" t="inlineStr">
        <is>
          <t>Not published</t>
        </is>
      </c>
      <c r="J96" s="14" t="inlineStr"/>
      <c r="K96" s="14" t="inlineStr"/>
      <c r="L96" s="14" t="inlineStr"/>
      <c r="M96" s="14" t="inlineStr"/>
    </row>
    <row r="97">
      <c r="A97" s="14" t="inlineStr">
        <is>
          <t>Circuits, Devices &amp; Semiconductors</t>
        </is>
      </c>
      <c r="B97" s="15" t="inlineStr">
        <is>
          <t>IEEE Transactions on Biomedical Circuits and Systems</t>
        </is>
      </c>
      <c r="C97" s="14" t="inlineStr">
        <is>
          <t>TBioCAS</t>
        </is>
      </c>
      <c r="D97" s="14" t="inlineStr">
        <is>
          <t>Transactions</t>
        </is>
      </c>
      <c r="E97" s="14" t="inlineStr">
        <is>
          <t>Hybrid</t>
        </is>
      </c>
      <c r="F97" s="16">
        <f>INDEX('Pricing rules'!$B$4:$B$6,MATCH(E97,'Pricing rules'!$A$4:$A$6,0))</f>
        <v/>
      </c>
      <c r="G97" s="16">
        <f>ROUND(F97*(1-'Pricing rules'!$B$10),0)</f>
        <v/>
      </c>
      <c r="H97" s="14" t="inlineStr">
        <is>
          <t>Free (overlength page charges may apply)</t>
        </is>
      </c>
      <c r="I97" s="14" t="inlineStr">
        <is>
          <t>Not published</t>
        </is>
      </c>
      <c r="J97" s="14" t="inlineStr"/>
      <c r="K97" s="14" t="inlineStr"/>
      <c r="L97" s="14" t="inlineStr"/>
      <c r="M97" s="14" t="inlineStr"/>
    </row>
    <row r="98">
      <c r="A98" s="14" t="inlineStr">
        <is>
          <t>Circuits, Devices &amp; Semiconductors</t>
        </is>
      </c>
      <c r="B98" s="15" t="inlineStr">
        <is>
          <t>IEEE Transactions on Very Large Scale Integration (VLSI) Systems</t>
        </is>
      </c>
      <c r="C98" s="14" t="inlineStr">
        <is>
          <t>TVLSI</t>
        </is>
      </c>
      <c r="D98" s="14" t="inlineStr">
        <is>
          <t>Transactions</t>
        </is>
      </c>
      <c r="E98" s="14" t="inlineStr">
        <is>
          <t>Hybrid</t>
        </is>
      </c>
      <c r="F98" s="16">
        <f>INDEX('Pricing rules'!$B$4:$B$6,MATCH(E98,'Pricing rules'!$A$4:$A$6,0))</f>
        <v/>
      </c>
      <c r="G98" s="16">
        <f>ROUND(F98*(1-'Pricing rules'!$B$10),0)</f>
        <v/>
      </c>
      <c r="H98" s="14" t="inlineStr">
        <is>
          <t>Free (overlength page charges may apply)</t>
        </is>
      </c>
      <c r="I98" s="14" t="inlineStr">
        <is>
          <t>Not published</t>
        </is>
      </c>
      <c r="J98" s="14" t="inlineStr"/>
      <c r="K98" s="14" t="inlineStr"/>
      <c r="L98" s="14" t="inlineStr"/>
      <c r="M98" s="14" t="inlineStr"/>
    </row>
    <row r="99">
      <c r="A99" s="14" t="inlineStr">
        <is>
          <t>Circuits, Devices &amp; Semiconductors</t>
        </is>
      </c>
      <c r="B99" s="15" t="inlineStr">
        <is>
          <t>IEEE Transactions on Computer-Aided Design of Integrated Circuits and Systems</t>
        </is>
      </c>
      <c r="C99" s="14" t="inlineStr">
        <is>
          <t>TCAD</t>
        </is>
      </c>
      <c r="D99" s="14" t="inlineStr">
        <is>
          <t>Transactions</t>
        </is>
      </c>
      <c r="E99" s="14" t="inlineStr">
        <is>
          <t>Hybrid</t>
        </is>
      </c>
      <c r="F99" s="16">
        <f>INDEX('Pricing rules'!$B$4:$B$6,MATCH(E99,'Pricing rules'!$A$4:$A$6,0))</f>
        <v/>
      </c>
      <c r="G99" s="16">
        <f>ROUND(F99*(1-'Pricing rules'!$B$10),0)</f>
        <v/>
      </c>
      <c r="H99" s="14" t="inlineStr">
        <is>
          <t>Free (overlength page charges may apply)</t>
        </is>
      </c>
      <c r="I99" s="14" t="inlineStr">
        <is>
          <t>Not published</t>
        </is>
      </c>
      <c r="J99" s="14" t="inlineStr"/>
      <c r="K99" s="14" t="inlineStr"/>
      <c r="L99" s="14" t="inlineStr"/>
      <c r="M99" s="14" t="inlineStr"/>
    </row>
    <row r="100">
      <c r="A100" s="14" t="inlineStr">
        <is>
          <t>Circuits, Devices &amp; Semiconductors</t>
        </is>
      </c>
      <c r="B100" s="15" t="inlineStr">
        <is>
          <t>IEEE Open Journal of Circuits and Systems</t>
        </is>
      </c>
      <c r="C100" s="14" t="inlineStr">
        <is>
          <t>OJCAS</t>
        </is>
      </c>
      <c r="D100" s="14" t="inlineStr">
        <is>
          <t>Open journal</t>
        </is>
      </c>
      <c r="E100" s="14" t="inlineStr">
        <is>
          <t>Fully open access</t>
        </is>
      </c>
      <c r="F100" s="16">
        <f>INDEX('Pricing rules'!$B$4:$B$6,MATCH(E100,'Pricing rules'!$A$4:$A$6,0))</f>
        <v/>
      </c>
      <c r="G100" s="16">
        <f>ROUND(F100*(1-'Pricing rules'!$B$10),0)</f>
        <v/>
      </c>
      <c r="H100" s="14" t="inlineStr">
        <is>
          <t>Not available — OA only</t>
        </is>
      </c>
      <c r="I100" s="14" t="inlineStr">
        <is>
          <t>Not published</t>
        </is>
      </c>
      <c r="J100" s="14" t="inlineStr"/>
      <c r="K100" s="14" t="inlineStr"/>
      <c r="L100" s="14" t="inlineStr"/>
      <c r="M100" s="14" t="inlineStr">
        <is>
          <t>APC US$2,160 in the 2026 CONCERT list.</t>
        </is>
      </c>
    </row>
    <row r="101">
      <c r="A101" s="14" t="inlineStr">
        <is>
          <t>Circuits, Devices &amp; Semiconductors</t>
        </is>
      </c>
      <c r="B101" s="15" t="inlineStr">
        <is>
          <t>IEEE Journal of Solid-State Circuits</t>
        </is>
      </c>
      <c r="C101" s="14" t="inlineStr">
        <is>
          <t>JSSC</t>
        </is>
      </c>
      <c r="D101" s="14" t="inlineStr">
        <is>
          <t>Journal</t>
        </is>
      </c>
      <c r="E101" s="14" t="inlineStr">
        <is>
          <t>Hybrid</t>
        </is>
      </c>
      <c r="F101" s="16">
        <f>INDEX('Pricing rules'!$B$4:$B$6,MATCH(E101,'Pricing rules'!$A$4:$A$6,0))</f>
        <v/>
      </c>
      <c r="G101" s="16">
        <f>ROUND(F101*(1-'Pricing rules'!$B$10),0)</f>
        <v/>
      </c>
      <c r="H101" s="14" t="inlineStr">
        <is>
          <t>Free (overlength page charges may apply)</t>
        </is>
      </c>
      <c r="I101" s="14" t="inlineStr">
        <is>
          <t>Not published</t>
        </is>
      </c>
      <c r="J101" s="14" t="inlineStr"/>
      <c r="K101" s="14" t="inlineStr"/>
      <c r="L101" s="14" t="inlineStr"/>
      <c r="M101" s="14" t="inlineStr"/>
    </row>
    <row r="102">
      <c r="A102" s="14" t="inlineStr">
        <is>
          <t>Circuits, Devices &amp; Semiconductors</t>
        </is>
      </c>
      <c r="B102" s="15" t="inlineStr">
        <is>
          <t>IEEE Solid-State Circuits Letters</t>
        </is>
      </c>
      <c r="C102" s="14" t="inlineStr">
        <is>
          <t>SSC-L</t>
        </is>
      </c>
      <c r="D102" s="14" t="inlineStr">
        <is>
          <t>Letters</t>
        </is>
      </c>
      <c r="E102" s="14" t="inlineStr">
        <is>
          <t>Hybrid</t>
        </is>
      </c>
      <c r="F102" s="16">
        <f>INDEX('Pricing rules'!$B$4:$B$6,MATCH(E102,'Pricing rules'!$A$4:$A$6,0))</f>
        <v/>
      </c>
      <c r="G102" s="16">
        <f>ROUND(F102*(1-'Pricing rules'!$B$10),0)</f>
        <v/>
      </c>
      <c r="H102" s="14" t="inlineStr">
        <is>
          <t>Free (overlength page charges may apply)</t>
        </is>
      </c>
      <c r="I102" s="14" t="inlineStr">
        <is>
          <t>Not published</t>
        </is>
      </c>
      <c r="J102" s="14" t="inlineStr"/>
      <c r="K102" s="14" t="inlineStr"/>
      <c r="L102" s="14" t="inlineStr"/>
      <c r="M102" s="14" t="inlineStr"/>
    </row>
    <row r="103">
      <c r="A103" s="14" t="inlineStr">
        <is>
          <t>Circuits, Devices &amp; Semiconductors</t>
        </is>
      </c>
      <c r="B103" s="15" t="inlineStr">
        <is>
          <t>IEEE Open Journal of the Solid-State Circuits Society</t>
        </is>
      </c>
      <c r="C103" s="14" t="inlineStr">
        <is>
          <t>OJSSCS</t>
        </is>
      </c>
      <c r="D103" s="14" t="inlineStr">
        <is>
          <t>Open journal</t>
        </is>
      </c>
      <c r="E103" s="14" t="inlineStr">
        <is>
          <t>Fully open access</t>
        </is>
      </c>
      <c r="F103" s="16">
        <f>INDEX('Pricing rules'!$B$4:$B$6,MATCH(E103,'Pricing rules'!$A$4:$A$6,0))</f>
        <v/>
      </c>
      <c r="G103" s="16">
        <f>ROUND(F103*(1-'Pricing rules'!$B$10),0)</f>
        <v/>
      </c>
      <c r="H103" s="14" t="inlineStr">
        <is>
          <t>Not available — OA only</t>
        </is>
      </c>
      <c r="I103" s="14" t="inlineStr">
        <is>
          <t>Not published</t>
        </is>
      </c>
      <c r="J103" s="14" t="inlineStr"/>
      <c r="K103" s="14" t="inlineStr"/>
      <c r="L103" s="14" t="inlineStr"/>
      <c r="M103" s="14" t="inlineStr"/>
    </row>
    <row r="104">
      <c r="A104" s="14" t="inlineStr">
        <is>
          <t>Circuits, Devices &amp; Semiconductors</t>
        </is>
      </c>
      <c r="B104" s="15" t="inlineStr">
        <is>
          <t>IEEE Transactions on Electron Devices</t>
        </is>
      </c>
      <c r="C104" s="14" t="inlineStr">
        <is>
          <t>TED</t>
        </is>
      </c>
      <c r="D104" s="14" t="inlineStr">
        <is>
          <t>Transactions</t>
        </is>
      </c>
      <c r="E104" s="14" t="inlineStr">
        <is>
          <t>Hybrid</t>
        </is>
      </c>
      <c r="F104" s="16">
        <f>INDEX('Pricing rules'!$B$4:$B$6,MATCH(E104,'Pricing rules'!$A$4:$A$6,0))</f>
        <v/>
      </c>
      <c r="G104" s="16">
        <f>ROUND(F104*(1-'Pricing rules'!$B$10),0)</f>
        <v/>
      </c>
      <c r="H104" s="14" t="inlineStr">
        <is>
          <t>Free (overlength page charges may apply)</t>
        </is>
      </c>
      <c r="I104" s="14" t="inlineStr">
        <is>
          <t>Not published</t>
        </is>
      </c>
      <c r="J104" s="14" t="inlineStr"/>
      <c r="K104" s="14" t="inlineStr"/>
      <c r="L104" s="14" t="inlineStr"/>
      <c r="M104" s="14" t="inlineStr"/>
    </row>
    <row r="105">
      <c r="A105" s="14" t="inlineStr">
        <is>
          <t>Circuits, Devices &amp; Semiconductors</t>
        </is>
      </c>
      <c r="B105" s="15" t="inlineStr">
        <is>
          <t>IEEE Electron Device Letters</t>
        </is>
      </c>
      <c r="C105" s="14" t="inlineStr">
        <is>
          <t>EDL</t>
        </is>
      </c>
      <c r="D105" s="14" t="inlineStr">
        <is>
          <t>Letters</t>
        </is>
      </c>
      <c r="E105" s="14" t="inlineStr">
        <is>
          <t>Hybrid</t>
        </is>
      </c>
      <c r="F105" s="16">
        <f>INDEX('Pricing rules'!$B$4:$B$6,MATCH(E105,'Pricing rules'!$A$4:$A$6,0))</f>
        <v/>
      </c>
      <c r="G105" s="16">
        <f>ROUND(F105*(1-'Pricing rules'!$B$10),0)</f>
        <v/>
      </c>
      <c r="H105" s="14" t="inlineStr">
        <is>
          <t>Free (overlength page charges may apply)</t>
        </is>
      </c>
      <c r="I105" s="14" t="inlineStr">
        <is>
          <t>Not published</t>
        </is>
      </c>
      <c r="J105" s="14" t="inlineStr"/>
      <c r="K105" s="14" t="inlineStr"/>
      <c r="L105" s="14" t="inlineStr"/>
      <c r="M105" s="14" t="inlineStr"/>
    </row>
    <row r="106">
      <c r="A106" s="14" t="inlineStr">
        <is>
          <t>Circuits, Devices &amp; Semiconductors</t>
        </is>
      </c>
      <c r="B106" s="15" t="inlineStr">
        <is>
          <t>IEEE Journal of the Electron Devices Society</t>
        </is>
      </c>
      <c r="C106" s="14" t="inlineStr">
        <is>
          <t>J-EDS</t>
        </is>
      </c>
      <c r="D106" s="14" t="inlineStr">
        <is>
          <t>Journal</t>
        </is>
      </c>
      <c r="E106" s="14" t="inlineStr">
        <is>
          <t>Fully open access</t>
        </is>
      </c>
      <c r="F106" s="16">
        <f>INDEX('Pricing rules'!$B$4:$B$6,MATCH(E106,'Pricing rules'!$A$4:$A$6,0))</f>
        <v/>
      </c>
      <c r="G106" s="16">
        <f>ROUND(F106*(1-'Pricing rules'!$B$10),0)</f>
        <v/>
      </c>
      <c r="H106" s="14" t="inlineStr">
        <is>
          <t>Not available — OA only</t>
        </is>
      </c>
      <c r="I106" s="14" t="inlineStr">
        <is>
          <t>Not published</t>
        </is>
      </c>
      <c r="J106" s="14" t="inlineStr"/>
      <c r="K106" s="14" t="inlineStr"/>
      <c r="L106" s="14" t="inlineStr"/>
      <c r="M106" s="14" t="inlineStr"/>
    </row>
    <row r="107">
      <c r="A107" s="14" t="inlineStr">
        <is>
          <t>Circuits, Devices &amp; Semiconductors</t>
        </is>
      </c>
      <c r="B107" s="15" t="inlineStr">
        <is>
          <t>IEEE Journal on Exploratory Solid-State Computational Devices and Circuits</t>
        </is>
      </c>
      <c r="C107" s="14" t="inlineStr">
        <is>
          <t>JXCDC</t>
        </is>
      </c>
      <c r="D107" s="14" t="inlineStr">
        <is>
          <t>Journal</t>
        </is>
      </c>
      <c r="E107" s="14" t="inlineStr">
        <is>
          <t>Fully open access</t>
        </is>
      </c>
      <c r="F107" s="16">
        <f>INDEX('Pricing rules'!$B$4:$B$6,MATCH(E107,'Pricing rules'!$A$4:$A$6,0))</f>
        <v/>
      </c>
      <c r="G107" s="16">
        <f>ROUND(F107*(1-'Pricing rules'!$B$10),0)</f>
        <v/>
      </c>
      <c r="H107" s="14" t="inlineStr">
        <is>
          <t>Not available — OA only</t>
        </is>
      </c>
      <c r="I107" s="14" t="inlineStr">
        <is>
          <t>Not published</t>
        </is>
      </c>
      <c r="J107" s="14" t="inlineStr"/>
      <c r="K107" s="14" t="inlineStr"/>
      <c r="L107" s="14" t="inlineStr"/>
      <c r="M107" s="14" t="inlineStr"/>
    </row>
    <row r="108">
      <c r="A108" s="14" t="inlineStr">
        <is>
          <t>Circuits, Devices &amp; Semiconductors</t>
        </is>
      </c>
      <c r="B108" s="15" t="inlineStr">
        <is>
          <t>IEEE Transactions on Semiconductor Manufacturing</t>
        </is>
      </c>
      <c r="C108" s="14" t="inlineStr">
        <is>
          <t>TSM</t>
        </is>
      </c>
      <c r="D108" s="14" t="inlineStr">
        <is>
          <t>Transactions</t>
        </is>
      </c>
      <c r="E108" s="14" t="inlineStr">
        <is>
          <t>Hybrid</t>
        </is>
      </c>
      <c r="F108" s="16">
        <f>INDEX('Pricing rules'!$B$4:$B$6,MATCH(E108,'Pricing rules'!$A$4:$A$6,0))</f>
        <v/>
      </c>
      <c r="G108" s="16">
        <f>ROUND(F108*(1-'Pricing rules'!$B$10),0)</f>
        <v/>
      </c>
      <c r="H108" s="14" t="inlineStr">
        <is>
          <t>Free (overlength page charges may apply)</t>
        </is>
      </c>
      <c r="I108" s="14" t="inlineStr">
        <is>
          <t>Not published</t>
        </is>
      </c>
      <c r="J108" s="14" t="inlineStr"/>
      <c r="K108" s="14" t="inlineStr"/>
      <c r="L108" s="14" t="inlineStr"/>
      <c r="M108" s="14" t="inlineStr"/>
    </row>
    <row r="109">
      <c r="A109" s="14" t="inlineStr">
        <is>
          <t>Circuits, Devices &amp; Semiconductors</t>
        </is>
      </c>
      <c r="B109" s="15" t="inlineStr">
        <is>
          <t>IEEE Transactions on Device and Materials Reliability</t>
        </is>
      </c>
      <c r="C109" s="14" t="inlineStr">
        <is>
          <t>TDMR</t>
        </is>
      </c>
      <c r="D109" s="14" t="inlineStr">
        <is>
          <t>Transactions</t>
        </is>
      </c>
      <c r="E109" s="14" t="inlineStr">
        <is>
          <t>Hybrid</t>
        </is>
      </c>
      <c r="F109" s="16">
        <f>INDEX('Pricing rules'!$B$4:$B$6,MATCH(E109,'Pricing rules'!$A$4:$A$6,0))</f>
        <v/>
      </c>
      <c r="G109" s="16">
        <f>ROUND(F109*(1-'Pricing rules'!$B$10),0)</f>
        <v/>
      </c>
      <c r="H109" s="14" t="inlineStr">
        <is>
          <t>Free (overlength page charges may apply)</t>
        </is>
      </c>
      <c r="I109" s="14" t="inlineStr">
        <is>
          <t>Not published</t>
        </is>
      </c>
      <c r="J109" s="14" t="inlineStr"/>
      <c r="K109" s="14" t="inlineStr"/>
      <c r="L109" s="14" t="inlineStr"/>
      <c r="M109" s="14" t="inlineStr"/>
    </row>
    <row r="110">
      <c r="A110" s="14" t="inlineStr">
        <is>
          <t>Circuits, Devices &amp; Semiconductors</t>
        </is>
      </c>
      <c r="B110" s="15" t="inlineStr">
        <is>
          <t>IEEE Transactions on Components, Packaging and Manufacturing Technology</t>
        </is>
      </c>
      <c r="C110" s="14" t="inlineStr">
        <is>
          <t>TCPMT</t>
        </is>
      </c>
      <c r="D110" s="14" t="inlineStr">
        <is>
          <t>Transactions</t>
        </is>
      </c>
      <c r="E110" s="14" t="inlineStr">
        <is>
          <t>Hybrid</t>
        </is>
      </c>
      <c r="F110" s="16">
        <f>INDEX('Pricing rules'!$B$4:$B$6,MATCH(E110,'Pricing rules'!$A$4:$A$6,0))</f>
        <v/>
      </c>
      <c r="G110" s="16">
        <f>ROUND(F110*(1-'Pricing rules'!$B$10),0)</f>
        <v/>
      </c>
      <c r="H110" s="14" t="inlineStr">
        <is>
          <t>Free (overlength page charges may apply)</t>
        </is>
      </c>
      <c r="I110" s="14" t="inlineStr">
        <is>
          <t>Not published</t>
        </is>
      </c>
      <c r="J110" s="14" t="inlineStr"/>
      <c r="K110" s="14" t="inlineStr"/>
      <c r="L110" s="14" t="inlineStr"/>
      <c r="M110" s="14" t="inlineStr"/>
    </row>
    <row r="111">
      <c r="A111" s="14" t="inlineStr">
        <is>
          <t>Circuits, Devices &amp; Semiconductors</t>
        </is>
      </c>
      <c r="B111" s="15" t="inlineStr">
        <is>
          <t>IEEE Transactions on Nanotechnology</t>
        </is>
      </c>
      <c r="C111" s="14" t="inlineStr">
        <is>
          <t>TNANO</t>
        </is>
      </c>
      <c r="D111" s="14" t="inlineStr">
        <is>
          <t>Transactions</t>
        </is>
      </c>
      <c r="E111" s="14" t="inlineStr">
        <is>
          <t>Hybrid</t>
        </is>
      </c>
      <c r="F111" s="16">
        <f>INDEX('Pricing rules'!$B$4:$B$6,MATCH(E111,'Pricing rules'!$A$4:$A$6,0))</f>
        <v/>
      </c>
      <c r="G111" s="16">
        <f>ROUND(F111*(1-'Pricing rules'!$B$10),0)</f>
        <v/>
      </c>
      <c r="H111" s="14" t="inlineStr">
        <is>
          <t>Free (overlength page charges may apply)</t>
        </is>
      </c>
      <c r="I111" s="14" t="inlineStr">
        <is>
          <t>Not published</t>
        </is>
      </c>
      <c r="J111" s="14" t="inlineStr"/>
      <c r="K111" s="14" t="inlineStr"/>
      <c r="L111" s="14" t="inlineStr"/>
      <c r="M111" s="14" t="inlineStr"/>
    </row>
    <row r="112">
      <c r="A112" s="14" t="inlineStr">
        <is>
          <t>Circuits, Devices &amp; Semiconductors</t>
        </is>
      </c>
      <c r="B112" s="15" t="inlineStr">
        <is>
          <t>IEEE Open Journal of Nanotechnology</t>
        </is>
      </c>
      <c r="C112" s="14" t="inlineStr">
        <is>
          <t>OJNANO</t>
        </is>
      </c>
      <c r="D112" s="14" t="inlineStr">
        <is>
          <t>Open journal</t>
        </is>
      </c>
      <c r="E112" s="14" t="inlineStr">
        <is>
          <t>Fully open access</t>
        </is>
      </c>
      <c r="F112" s="16">
        <f>INDEX('Pricing rules'!$B$4:$B$6,MATCH(E112,'Pricing rules'!$A$4:$A$6,0))</f>
        <v/>
      </c>
      <c r="G112" s="16">
        <f>ROUND(F112*(1-'Pricing rules'!$B$10),0)</f>
        <v/>
      </c>
      <c r="H112" s="14" t="inlineStr">
        <is>
          <t>Not available — OA only</t>
        </is>
      </c>
      <c r="I112" s="14" t="inlineStr">
        <is>
          <t>Not published</t>
        </is>
      </c>
      <c r="J112" s="14" t="inlineStr"/>
      <c r="K112" s="14" t="inlineStr"/>
      <c r="L112" s="14" t="inlineStr"/>
      <c r="M112" s="14" t="inlineStr"/>
    </row>
    <row r="113">
      <c r="A113" s="14" t="inlineStr">
        <is>
          <t>Circuits, Devices &amp; Semiconductors</t>
        </is>
      </c>
      <c r="B113" s="15" t="inlineStr">
        <is>
          <t>Journal of Microelectromechanical Systems</t>
        </is>
      </c>
      <c r="C113" s="14" t="inlineStr">
        <is>
          <t>JMEMS</t>
        </is>
      </c>
      <c r="D113" s="14" t="inlineStr">
        <is>
          <t>Journal</t>
        </is>
      </c>
      <c r="E113" s="14" t="inlineStr">
        <is>
          <t>Hybrid</t>
        </is>
      </c>
      <c r="F113" s="16">
        <f>INDEX('Pricing rules'!$B$4:$B$6,MATCH(E113,'Pricing rules'!$A$4:$A$6,0))</f>
        <v/>
      </c>
      <c r="G113" s="16">
        <f>ROUND(F113*(1-'Pricing rules'!$B$10),0)</f>
        <v/>
      </c>
      <c r="H113" s="14" t="inlineStr">
        <is>
          <t>Free (overlength page charges may apply)</t>
        </is>
      </c>
      <c r="I113" s="14" t="inlineStr">
        <is>
          <t>Not published</t>
        </is>
      </c>
      <c r="J113" s="14" t="inlineStr"/>
      <c r="K113" s="14" t="inlineStr"/>
      <c r="L113" s="14" t="inlineStr"/>
      <c r="M113" s="14" t="inlineStr"/>
    </row>
    <row r="114">
      <c r="A114" s="14" t="inlineStr">
        <is>
          <t>Circuits, Devices &amp; Semiconductors</t>
        </is>
      </c>
      <c r="B114" s="15" t="inlineStr">
        <is>
          <t>IEEE Transactions on Ultrasonics, Ferroelectrics, and Frequency Control</t>
        </is>
      </c>
      <c r="C114" s="14" t="inlineStr">
        <is>
          <t>TUFFC</t>
        </is>
      </c>
      <c r="D114" s="14" t="inlineStr">
        <is>
          <t>Transactions</t>
        </is>
      </c>
      <c r="E114" s="14" t="inlineStr">
        <is>
          <t>Hybrid</t>
        </is>
      </c>
      <c r="F114" s="16">
        <f>INDEX('Pricing rules'!$B$4:$B$6,MATCH(E114,'Pricing rules'!$A$4:$A$6,0))</f>
        <v/>
      </c>
      <c r="G114" s="16">
        <f>ROUND(F114*(1-'Pricing rules'!$B$10),0)</f>
        <v/>
      </c>
      <c r="H114" s="14" t="inlineStr">
        <is>
          <t>Free (overlength page charges may apply)</t>
        </is>
      </c>
      <c r="I114" s="14" t="inlineStr">
        <is>
          <t>Not published</t>
        </is>
      </c>
      <c r="J114" s="14" t="inlineStr"/>
      <c r="K114" s="14" t="inlineStr"/>
      <c r="L114" s="14" t="inlineStr"/>
      <c r="M114" s="14" t="inlineStr"/>
    </row>
    <row r="115">
      <c r="A115" s="14" t="inlineStr">
        <is>
          <t>Circuits, Devices &amp; Semiconductors</t>
        </is>
      </c>
      <c r="B115" s="15" t="inlineStr">
        <is>
          <t>IEEE Open Journal of Ultrasonics, Ferroelectrics, and Frequency Control</t>
        </is>
      </c>
      <c r="C115" s="14" t="inlineStr">
        <is>
          <t>OJUFFC</t>
        </is>
      </c>
      <c r="D115" s="14" t="inlineStr">
        <is>
          <t>Open journal</t>
        </is>
      </c>
      <c r="E115" s="14" t="inlineStr">
        <is>
          <t>Fully open access</t>
        </is>
      </c>
      <c r="F115" s="16">
        <f>INDEX('Pricing rules'!$B$4:$B$6,MATCH(E115,'Pricing rules'!$A$4:$A$6,0))</f>
        <v/>
      </c>
      <c r="G115" s="16">
        <f>ROUND(F115*(1-'Pricing rules'!$B$10),0)</f>
        <v/>
      </c>
      <c r="H115" s="14" t="inlineStr">
        <is>
          <t>Not available — OA only</t>
        </is>
      </c>
      <c r="I115" s="14" t="inlineStr">
        <is>
          <t>Not published</t>
        </is>
      </c>
      <c r="J115" s="14" t="inlineStr"/>
      <c r="K115" s="14" t="inlineStr"/>
      <c r="L115" s="14" t="inlineStr"/>
      <c r="M115" s="14" t="inlineStr"/>
    </row>
    <row r="116">
      <c r="A116" s="14" t="inlineStr">
        <is>
          <t>Power, Energy &amp; Industrial Electronics</t>
        </is>
      </c>
      <c r="B116" s="15" t="inlineStr">
        <is>
          <t>IEEE Transactions on Power Systems</t>
        </is>
      </c>
      <c r="C116" s="14" t="inlineStr">
        <is>
          <t>TPWRS</t>
        </is>
      </c>
      <c r="D116" s="14" t="inlineStr">
        <is>
          <t>Transactions</t>
        </is>
      </c>
      <c r="E116" s="14" t="inlineStr">
        <is>
          <t>Hybrid</t>
        </is>
      </c>
      <c r="F116" s="16">
        <f>INDEX('Pricing rules'!$B$4:$B$6,MATCH(E116,'Pricing rules'!$A$4:$A$6,0))</f>
        <v/>
      </c>
      <c r="G116" s="16">
        <f>ROUND(F116*(1-'Pricing rules'!$B$10),0)</f>
        <v/>
      </c>
      <c r="H116" s="14" t="inlineStr">
        <is>
          <t>Free (overlength page charges may apply)</t>
        </is>
      </c>
      <c r="I116" s="14" t="inlineStr">
        <is>
          <t>Not published</t>
        </is>
      </c>
      <c r="J116" s="14" t="inlineStr"/>
      <c r="K116" s="14" t="inlineStr"/>
      <c r="L116" s="14" t="inlineStr"/>
      <c r="M116" s="14" t="inlineStr"/>
    </row>
    <row r="117">
      <c r="A117" s="14" t="inlineStr">
        <is>
          <t>Power, Energy &amp; Industrial Electronics</t>
        </is>
      </c>
      <c r="B117" s="15" t="inlineStr">
        <is>
          <t>IEEE Transactions on Smart Grid</t>
        </is>
      </c>
      <c r="C117" s="14" t="inlineStr">
        <is>
          <t>TSG</t>
        </is>
      </c>
      <c r="D117" s="14" t="inlineStr">
        <is>
          <t>Transactions</t>
        </is>
      </c>
      <c r="E117" s="14" t="inlineStr">
        <is>
          <t>Hybrid</t>
        </is>
      </c>
      <c r="F117" s="16">
        <f>INDEX('Pricing rules'!$B$4:$B$6,MATCH(E117,'Pricing rules'!$A$4:$A$6,0))</f>
        <v/>
      </c>
      <c r="G117" s="16">
        <f>ROUND(F117*(1-'Pricing rules'!$B$10),0)</f>
        <v/>
      </c>
      <c r="H117" s="14" t="inlineStr">
        <is>
          <t>Free (overlength page charges may apply)</t>
        </is>
      </c>
      <c r="I117" s="14" t="inlineStr">
        <is>
          <t>Not published</t>
        </is>
      </c>
      <c r="J117" s="14" t="inlineStr"/>
      <c r="K117" s="14" t="inlineStr"/>
      <c r="L117" s="14" t="inlineStr"/>
      <c r="M117" s="14" t="inlineStr"/>
    </row>
    <row r="118">
      <c r="A118" s="14" t="inlineStr">
        <is>
          <t>Power, Energy &amp; Industrial Electronics</t>
        </is>
      </c>
      <c r="B118" s="15" t="inlineStr">
        <is>
          <t>IEEE Transactions on Sustainable Energy</t>
        </is>
      </c>
      <c r="C118" s="14" t="inlineStr">
        <is>
          <t>TSTE</t>
        </is>
      </c>
      <c r="D118" s="14" t="inlineStr">
        <is>
          <t>Transactions</t>
        </is>
      </c>
      <c r="E118" s="14" t="inlineStr">
        <is>
          <t>Hybrid</t>
        </is>
      </c>
      <c r="F118" s="16">
        <f>INDEX('Pricing rules'!$B$4:$B$6,MATCH(E118,'Pricing rules'!$A$4:$A$6,0))</f>
        <v/>
      </c>
      <c r="G118" s="16">
        <f>ROUND(F118*(1-'Pricing rules'!$B$10),0)</f>
        <v/>
      </c>
      <c r="H118" s="14" t="inlineStr">
        <is>
          <t>Free (overlength page charges may apply)</t>
        </is>
      </c>
      <c r="I118" s="14" t="inlineStr">
        <is>
          <t>Not published</t>
        </is>
      </c>
      <c r="J118" s="14" t="inlineStr"/>
      <c r="K118" s="14" t="inlineStr"/>
      <c r="L118" s="14" t="inlineStr"/>
      <c r="M118" s="14" t="inlineStr"/>
    </row>
    <row r="119">
      <c r="A119" s="14" t="inlineStr">
        <is>
          <t>Power, Energy &amp; Industrial Electronics</t>
        </is>
      </c>
      <c r="B119" s="15" t="inlineStr">
        <is>
          <t>IEEE Transactions on Energy Conversion</t>
        </is>
      </c>
      <c r="C119" s="14" t="inlineStr">
        <is>
          <t>TEC</t>
        </is>
      </c>
      <c r="D119" s="14" t="inlineStr">
        <is>
          <t>Transactions</t>
        </is>
      </c>
      <c r="E119" s="14" t="inlineStr">
        <is>
          <t>Hybrid</t>
        </is>
      </c>
      <c r="F119" s="16">
        <f>INDEX('Pricing rules'!$B$4:$B$6,MATCH(E119,'Pricing rules'!$A$4:$A$6,0))</f>
        <v/>
      </c>
      <c r="G119" s="16">
        <f>ROUND(F119*(1-'Pricing rules'!$B$10),0)</f>
        <v/>
      </c>
      <c r="H119" s="14" t="inlineStr">
        <is>
          <t>Free (overlength page charges may apply)</t>
        </is>
      </c>
      <c r="I119" s="14" t="inlineStr">
        <is>
          <t>Not published</t>
        </is>
      </c>
      <c r="J119" s="14" t="inlineStr"/>
      <c r="K119" s="14" t="inlineStr"/>
      <c r="L119" s="14" t="inlineStr"/>
      <c r="M119" s="14" t="inlineStr"/>
    </row>
    <row r="120">
      <c r="A120" s="14" t="inlineStr">
        <is>
          <t>Power, Energy &amp; Industrial Electronics</t>
        </is>
      </c>
      <c r="B120" s="15" t="inlineStr">
        <is>
          <t>IEEE Transactions on Power Delivery</t>
        </is>
      </c>
      <c r="C120" s="14" t="inlineStr">
        <is>
          <t>TPWRD</t>
        </is>
      </c>
      <c r="D120" s="14" t="inlineStr">
        <is>
          <t>Transactions</t>
        </is>
      </c>
      <c r="E120" s="14" t="inlineStr">
        <is>
          <t>Hybrid</t>
        </is>
      </c>
      <c r="F120" s="16">
        <f>INDEX('Pricing rules'!$B$4:$B$6,MATCH(E120,'Pricing rules'!$A$4:$A$6,0))</f>
        <v/>
      </c>
      <c r="G120" s="16">
        <f>ROUND(F120*(1-'Pricing rules'!$B$10),0)</f>
        <v/>
      </c>
      <c r="H120" s="14" t="inlineStr">
        <is>
          <t>Free (overlength page charges may apply)</t>
        </is>
      </c>
      <c r="I120" s="14" t="inlineStr">
        <is>
          <t>Not published</t>
        </is>
      </c>
      <c r="J120" s="14" t="inlineStr"/>
      <c r="K120" s="14" t="inlineStr"/>
      <c r="L120" s="14" t="inlineStr"/>
      <c r="M120" s="14" t="inlineStr"/>
    </row>
    <row r="121">
      <c r="A121" s="14" t="inlineStr">
        <is>
          <t>Power, Energy &amp; Industrial Electronics</t>
        </is>
      </c>
      <c r="B121" s="15" t="inlineStr">
        <is>
          <t>IEEE Transactions on Energy Markets, Policy and Regulation</t>
        </is>
      </c>
      <c r="C121" s="14" t="inlineStr">
        <is>
          <t>TEMPR</t>
        </is>
      </c>
      <c r="D121" s="14" t="inlineStr">
        <is>
          <t>Transactions</t>
        </is>
      </c>
      <c r="E121" s="14" t="inlineStr">
        <is>
          <t>Hybrid</t>
        </is>
      </c>
      <c r="F121" s="16">
        <f>INDEX('Pricing rules'!$B$4:$B$6,MATCH(E121,'Pricing rules'!$A$4:$A$6,0))</f>
        <v/>
      </c>
      <c r="G121" s="16">
        <f>ROUND(F121*(1-'Pricing rules'!$B$10),0)</f>
        <v/>
      </c>
      <c r="H121" s="14" t="inlineStr">
        <is>
          <t>Free (overlength page charges may apply)</t>
        </is>
      </c>
      <c r="I121" s="14" t="inlineStr">
        <is>
          <t>Not published</t>
        </is>
      </c>
      <c r="J121" s="14" t="inlineStr"/>
      <c r="K121" s="14" t="inlineStr"/>
      <c r="L121" s="14" t="inlineStr"/>
      <c r="M121" s="18" t="inlineStr">
        <is>
          <t>Open-access model not confirmed for 2026 — check the journal's author page.</t>
        </is>
      </c>
    </row>
    <row r="122">
      <c r="A122" s="14" t="inlineStr">
        <is>
          <t>Power, Energy &amp; Industrial Electronics</t>
        </is>
      </c>
      <c r="B122" s="15" t="inlineStr">
        <is>
          <t>IEEE Open Access Journal of Power and Energy</t>
        </is>
      </c>
      <c r="C122" s="14" t="inlineStr">
        <is>
          <t>OAJPE</t>
        </is>
      </c>
      <c r="D122" s="14" t="inlineStr">
        <is>
          <t>Open journal</t>
        </is>
      </c>
      <c r="E122" s="14" t="inlineStr">
        <is>
          <t>Fully open access</t>
        </is>
      </c>
      <c r="F122" s="16">
        <f>INDEX('Pricing rules'!$B$4:$B$6,MATCH(E122,'Pricing rules'!$A$4:$A$6,0))</f>
        <v/>
      </c>
      <c r="G122" s="16">
        <f>ROUND(F122*(1-'Pricing rules'!$B$10),0)</f>
        <v/>
      </c>
      <c r="H122" s="14" t="inlineStr">
        <is>
          <t>Not available — OA only</t>
        </is>
      </c>
      <c r="I122" s="14" t="inlineStr">
        <is>
          <t>Not published</t>
        </is>
      </c>
      <c r="J122" s="14" t="inlineStr"/>
      <c r="K122" s="14" t="inlineStr"/>
      <c r="L122" s="14" t="inlineStr"/>
      <c r="M122" s="14" t="inlineStr">
        <is>
          <t>APC US$2,160 confirmed by IEEE PES for 2026.</t>
        </is>
      </c>
    </row>
    <row r="123">
      <c r="A123" s="14" t="inlineStr">
        <is>
          <t>Power, Energy &amp; Industrial Electronics</t>
        </is>
      </c>
      <c r="B123" s="15" t="inlineStr">
        <is>
          <t>IEEE Transactions on Power Electronics</t>
        </is>
      </c>
      <c r="C123" s="14" t="inlineStr">
        <is>
          <t>TPEL</t>
        </is>
      </c>
      <c r="D123" s="14" t="inlineStr">
        <is>
          <t>Transactions</t>
        </is>
      </c>
      <c r="E123" s="14" t="inlineStr">
        <is>
          <t>Hybrid</t>
        </is>
      </c>
      <c r="F123" s="16">
        <f>INDEX('Pricing rules'!$B$4:$B$6,MATCH(E123,'Pricing rules'!$A$4:$A$6,0))</f>
        <v/>
      </c>
      <c r="G123" s="16">
        <f>ROUND(F123*(1-'Pricing rules'!$B$10),0)</f>
        <v/>
      </c>
      <c r="H123" s="14" t="inlineStr">
        <is>
          <t>Free (overlength page charges may apply)</t>
        </is>
      </c>
      <c r="I123" s="14" t="inlineStr">
        <is>
          <t>Not published</t>
        </is>
      </c>
      <c r="J123" s="14" t="inlineStr"/>
      <c r="K123" s="14" t="inlineStr"/>
      <c r="L123" s="14" t="inlineStr"/>
      <c r="M123" s="14" t="inlineStr"/>
    </row>
    <row r="124">
      <c r="A124" s="14" t="inlineStr">
        <is>
          <t>Power, Energy &amp; Industrial Electronics</t>
        </is>
      </c>
      <c r="B124" s="15" t="inlineStr">
        <is>
          <t>IEEE Journal of Emerging and Selected Topics in Power Electronics</t>
        </is>
      </c>
      <c r="C124" s="14" t="inlineStr">
        <is>
          <t>JESTPE</t>
        </is>
      </c>
      <c r="D124" s="14" t="inlineStr">
        <is>
          <t>Journal</t>
        </is>
      </c>
      <c r="E124" s="14" t="inlineStr">
        <is>
          <t>Hybrid</t>
        </is>
      </c>
      <c r="F124" s="16">
        <f>INDEX('Pricing rules'!$B$4:$B$6,MATCH(E124,'Pricing rules'!$A$4:$A$6,0))</f>
        <v/>
      </c>
      <c r="G124" s="16">
        <f>ROUND(F124*(1-'Pricing rules'!$B$10),0)</f>
        <v/>
      </c>
      <c r="H124" s="14" t="inlineStr">
        <is>
          <t>Free (overlength page charges may apply)</t>
        </is>
      </c>
      <c r="I124" s="14" t="inlineStr">
        <is>
          <t>Not published</t>
        </is>
      </c>
      <c r="J124" s="14" t="inlineStr"/>
      <c r="K124" s="14" t="inlineStr"/>
      <c r="L124" s="14" t="inlineStr"/>
      <c r="M124" s="14" t="inlineStr"/>
    </row>
    <row r="125">
      <c r="A125" s="14" t="inlineStr">
        <is>
          <t>Power, Energy &amp; Industrial Electronics</t>
        </is>
      </c>
      <c r="B125" s="15" t="inlineStr">
        <is>
          <t>IEEE Open Journal of Power Electronics</t>
        </is>
      </c>
      <c r="C125" s="14" t="inlineStr">
        <is>
          <t>OJPEL</t>
        </is>
      </c>
      <c r="D125" s="14" t="inlineStr">
        <is>
          <t>Open journal</t>
        </is>
      </c>
      <c r="E125" s="14" t="inlineStr">
        <is>
          <t>Fully open access</t>
        </is>
      </c>
      <c r="F125" s="16">
        <f>INDEX('Pricing rules'!$B$4:$B$6,MATCH(E125,'Pricing rules'!$A$4:$A$6,0))</f>
        <v/>
      </c>
      <c r="G125" s="16">
        <f>ROUND(F125*(1-'Pricing rules'!$B$10),0)</f>
        <v/>
      </c>
      <c r="H125" s="14" t="inlineStr">
        <is>
          <t>Not available — OA only</t>
        </is>
      </c>
      <c r="I125" s="14" t="inlineStr">
        <is>
          <t>Not published</t>
        </is>
      </c>
      <c r="J125" s="14" t="inlineStr"/>
      <c r="K125" s="14" t="inlineStr"/>
      <c r="L125" s="14" t="inlineStr"/>
      <c r="M125" s="14" t="inlineStr"/>
    </row>
    <row r="126">
      <c r="A126" s="14" t="inlineStr">
        <is>
          <t>Power, Energy &amp; Industrial Electronics</t>
        </is>
      </c>
      <c r="B126" s="15" t="inlineStr">
        <is>
          <t>IEEE Transactions on Industrial Electronics</t>
        </is>
      </c>
      <c r="C126" s="14" t="inlineStr">
        <is>
          <t>TIE</t>
        </is>
      </c>
      <c r="D126" s="14" t="inlineStr">
        <is>
          <t>Transactions</t>
        </is>
      </c>
      <c r="E126" s="14" t="inlineStr">
        <is>
          <t>Hybrid</t>
        </is>
      </c>
      <c r="F126" s="16">
        <f>INDEX('Pricing rules'!$B$4:$B$6,MATCH(E126,'Pricing rules'!$A$4:$A$6,0))</f>
        <v/>
      </c>
      <c r="G126" s="16">
        <f>ROUND(F126*(1-'Pricing rules'!$B$10),0)</f>
        <v/>
      </c>
      <c r="H126" s="14" t="inlineStr">
        <is>
          <t>Free (overlength page charges may apply)</t>
        </is>
      </c>
      <c r="I126" s="14" t="inlineStr">
        <is>
          <t>Not published</t>
        </is>
      </c>
      <c r="J126" s="14" t="inlineStr"/>
      <c r="K126" s="14" t="inlineStr"/>
      <c r="L126" s="14" t="inlineStr"/>
      <c r="M126" s="14" t="inlineStr"/>
    </row>
    <row r="127">
      <c r="A127" s="14" t="inlineStr">
        <is>
          <t>Power, Energy &amp; Industrial Electronics</t>
        </is>
      </c>
      <c r="B127" s="15" t="inlineStr">
        <is>
          <t>IEEE Transactions on Industrial Informatics</t>
        </is>
      </c>
      <c r="C127" s="14" t="inlineStr">
        <is>
          <t>TII</t>
        </is>
      </c>
      <c r="D127" s="14" t="inlineStr">
        <is>
          <t>Transactions</t>
        </is>
      </c>
      <c r="E127" s="14" t="inlineStr">
        <is>
          <t>Hybrid</t>
        </is>
      </c>
      <c r="F127" s="16">
        <f>INDEX('Pricing rules'!$B$4:$B$6,MATCH(E127,'Pricing rules'!$A$4:$A$6,0))</f>
        <v/>
      </c>
      <c r="G127" s="16">
        <f>ROUND(F127*(1-'Pricing rules'!$B$10),0)</f>
        <v/>
      </c>
      <c r="H127" s="14" t="inlineStr">
        <is>
          <t>Free (overlength page charges may apply)</t>
        </is>
      </c>
      <c r="I127" s="14" t="inlineStr">
        <is>
          <t>Not published</t>
        </is>
      </c>
      <c r="J127" s="14" t="inlineStr"/>
      <c r="K127" s="14" t="inlineStr"/>
      <c r="L127" s="14" t="inlineStr"/>
      <c r="M127" s="14" t="inlineStr"/>
    </row>
    <row r="128">
      <c r="A128" s="14" t="inlineStr">
        <is>
          <t>Power, Energy &amp; Industrial Electronics</t>
        </is>
      </c>
      <c r="B128" s="15" t="inlineStr">
        <is>
          <t>IEEE Journal of Emerging and Selected Topics in Industrial Electronics</t>
        </is>
      </c>
      <c r="C128" s="14" t="inlineStr">
        <is>
          <t>JESTIE</t>
        </is>
      </c>
      <c r="D128" s="14" t="inlineStr">
        <is>
          <t>Journal</t>
        </is>
      </c>
      <c r="E128" s="14" t="inlineStr">
        <is>
          <t>Hybrid</t>
        </is>
      </c>
      <c r="F128" s="16">
        <f>INDEX('Pricing rules'!$B$4:$B$6,MATCH(E128,'Pricing rules'!$A$4:$A$6,0))</f>
        <v/>
      </c>
      <c r="G128" s="16">
        <f>ROUND(F128*(1-'Pricing rules'!$B$10),0)</f>
        <v/>
      </c>
      <c r="H128" s="14" t="inlineStr">
        <is>
          <t>Free (overlength page charges may apply)</t>
        </is>
      </c>
      <c r="I128" s="14" t="inlineStr">
        <is>
          <t>Not published</t>
        </is>
      </c>
      <c r="J128" s="14" t="inlineStr"/>
      <c r="K128" s="14" t="inlineStr"/>
      <c r="L128" s="14" t="inlineStr"/>
      <c r="M128" s="14" t="inlineStr"/>
    </row>
    <row r="129">
      <c r="A129" s="14" t="inlineStr">
        <is>
          <t>Power, Energy &amp; Industrial Electronics</t>
        </is>
      </c>
      <c r="B129" s="15" t="inlineStr">
        <is>
          <t>IEEE Transactions on Industrial Cyber-Physical Systems</t>
        </is>
      </c>
      <c r="C129" s="14" t="inlineStr">
        <is>
          <t>TICPS</t>
        </is>
      </c>
      <c r="D129" s="14" t="inlineStr">
        <is>
          <t>Transactions</t>
        </is>
      </c>
      <c r="E129" s="14" t="inlineStr">
        <is>
          <t>Hybrid</t>
        </is>
      </c>
      <c r="F129" s="16">
        <f>INDEX('Pricing rules'!$B$4:$B$6,MATCH(E129,'Pricing rules'!$A$4:$A$6,0))</f>
        <v/>
      </c>
      <c r="G129" s="16">
        <f>ROUND(F129*(1-'Pricing rules'!$B$10),0)</f>
        <v/>
      </c>
      <c r="H129" s="14" t="inlineStr">
        <is>
          <t>Free (overlength page charges may apply)</t>
        </is>
      </c>
      <c r="I129" s="14" t="inlineStr">
        <is>
          <t>Not published</t>
        </is>
      </c>
      <c r="J129" s="14" t="inlineStr"/>
      <c r="K129" s="14" t="inlineStr"/>
      <c r="L129" s="14" t="inlineStr"/>
      <c r="M129" s="18" t="inlineStr">
        <is>
          <t>Open-access model not confirmed for 2026 — check the journal's author page.</t>
        </is>
      </c>
    </row>
    <row r="130">
      <c r="A130" s="14" t="inlineStr">
        <is>
          <t>Power, Energy &amp; Industrial Electronics</t>
        </is>
      </c>
      <c r="B130" s="15" t="inlineStr">
        <is>
          <t>IEEE Open Journal of the Industrial Electronics Society</t>
        </is>
      </c>
      <c r="C130" s="14" t="inlineStr">
        <is>
          <t>OJIES</t>
        </is>
      </c>
      <c r="D130" s="14" t="inlineStr">
        <is>
          <t>Open journal</t>
        </is>
      </c>
      <c r="E130" s="14" t="inlineStr">
        <is>
          <t>Fully open access</t>
        </is>
      </c>
      <c r="F130" s="16">
        <f>INDEX('Pricing rules'!$B$4:$B$6,MATCH(E130,'Pricing rules'!$A$4:$A$6,0))</f>
        <v/>
      </c>
      <c r="G130" s="16">
        <f>ROUND(F130*(1-'Pricing rules'!$B$10),0)</f>
        <v/>
      </c>
      <c r="H130" s="14" t="inlineStr">
        <is>
          <t>Not available — OA only</t>
        </is>
      </c>
      <c r="I130" s="14" t="inlineStr">
        <is>
          <t>Not published</t>
        </is>
      </c>
      <c r="J130" s="14" t="inlineStr"/>
      <c r="K130" s="14" t="inlineStr"/>
      <c r="L130" s="14" t="inlineStr"/>
      <c r="M130" s="14" t="inlineStr"/>
    </row>
    <row r="131">
      <c r="A131" s="14" t="inlineStr">
        <is>
          <t>Power, Energy &amp; Industrial Electronics</t>
        </is>
      </c>
      <c r="B131" s="15" t="inlineStr">
        <is>
          <t>IEEE Transactions on Industry Applications</t>
        </is>
      </c>
      <c r="C131" s="14" t="inlineStr">
        <is>
          <t>TIA</t>
        </is>
      </c>
      <c r="D131" s="14" t="inlineStr">
        <is>
          <t>Transactions</t>
        </is>
      </c>
      <c r="E131" s="14" t="inlineStr">
        <is>
          <t>Hybrid</t>
        </is>
      </c>
      <c r="F131" s="16">
        <f>INDEX('Pricing rules'!$B$4:$B$6,MATCH(E131,'Pricing rules'!$A$4:$A$6,0))</f>
        <v/>
      </c>
      <c r="G131" s="16">
        <f>ROUND(F131*(1-'Pricing rules'!$B$10),0)</f>
        <v/>
      </c>
      <c r="H131" s="14" t="inlineStr">
        <is>
          <t>Free (overlength page charges may apply)</t>
        </is>
      </c>
      <c r="I131" s="14" t="inlineStr">
        <is>
          <t>Not published</t>
        </is>
      </c>
      <c r="J131" s="14" t="inlineStr"/>
      <c r="K131" s="14" t="inlineStr"/>
      <c r="L131" s="14" t="inlineStr"/>
      <c r="M131" s="14" t="inlineStr"/>
    </row>
    <row r="132">
      <c r="A132" s="14" t="inlineStr">
        <is>
          <t>Power, Energy &amp; Industrial Electronics</t>
        </is>
      </c>
      <c r="B132" s="15" t="inlineStr">
        <is>
          <t>IEEE Open Journal of Industry Applications</t>
        </is>
      </c>
      <c r="C132" s="14" t="inlineStr">
        <is>
          <t>OJIA</t>
        </is>
      </c>
      <c r="D132" s="14" t="inlineStr">
        <is>
          <t>Open journal</t>
        </is>
      </c>
      <c r="E132" s="14" t="inlineStr">
        <is>
          <t>Fully open access</t>
        </is>
      </c>
      <c r="F132" s="16">
        <f>INDEX('Pricing rules'!$B$4:$B$6,MATCH(E132,'Pricing rules'!$A$4:$A$6,0))</f>
        <v/>
      </c>
      <c r="G132" s="16">
        <f>ROUND(F132*(1-'Pricing rules'!$B$10),0)</f>
        <v/>
      </c>
      <c r="H132" s="14" t="inlineStr">
        <is>
          <t>Not available — OA only</t>
        </is>
      </c>
      <c r="I132" s="14" t="inlineStr">
        <is>
          <t>Not published</t>
        </is>
      </c>
      <c r="J132" s="14" t="inlineStr"/>
      <c r="K132" s="14" t="inlineStr"/>
      <c r="L132" s="14" t="inlineStr"/>
      <c r="M132" s="14" t="inlineStr"/>
    </row>
    <row r="133">
      <c r="A133" s="14" t="inlineStr">
        <is>
          <t>Power, Energy &amp; Industrial Electronics</t>
        </is>
      </c>
      <c r="B133" s="15" t="inlineStr">
        <is>
          <t>IEEE Transactions on Transportation Electrification</t>
        </is>
      </c>
      <c r="C133" s="14" t="inlineStr">
        <is>
          <t>TTE</t>
        </is>
      </c>
      <c r="D133" s="14" t="inlineStr">
        <is>
          <t>Transactions</t>
        </is>
      </c>
      <c r="E133" s="14" t="inlineStr">
        <is>
          <t>Hybrid</t>
        </is>
      </c>
      <c r="F133" s="16">
        <f>INDEX('Pricing rules'!$B$4:$B$6,MATCH(E133,'Pricing rules'!$A$4:$A$6,0))</f>
        <v/>
      </c>
      <c r="G133" s="16">
        <f>ROUND(F133*(1-'Pricing rules'!$B$10),0)</f>
        <v/>
      </c>
      <c r="H133" s="14" t="inlineStr">
        <is>
          <t>Free (overlength page charges may apply)</t>
        </is>
      </c>
      <c r="I133" s="14" t="inlineStr">
        <is>
          <t>Not published</t>
        </is>
      </c>
      <c r="J133" s="14" t="inlineStr"/>
      <c r="K133" s="14" t="inlineStr"/>
      <c r="L133" s="14" t="inlineStr"/>
      <c r="M133" s="14" t="inlineStr"/>
    </row>
    <row r="134">
      <c r="A134" s="14" t="inlineStr">
        <is>
          <t>Power, Energy &amp; Industrial Electronics</t>
        </is>
      </c>
      <c r="B134" s="15" t="inlineStr">
        <is>
          <t>IEEE Transactions on Dielectrics and Electrical Insulation</t>
        </is>
      </c>
      <c r="C134" s="14" t="inlineStr">
        <is>
          <t>TDEI</t>
        </is>
      </c>
      <c r="D134" s="14" t="inlineStr">
        <is>
          <t>Transactions</t>
        </is>
      </c>
      <c r="E134" s="14" t="inlineStr">
        <is>
          <t>Hybrid</t>
        </is>
      </c>
      <c r="F134" s="16">
        <f>INDEX('Pricing rules'!$B$4:$B$6,MATCH(E134,'Pricing rules'!$A$4:$A$6,0))</f>
        <v/>
      </c>
      <c r="G134" s="16">
        <f>ROUND(F134*(1-'Pricing rules'!$B$10),0)</f>
        <v/>
      </c>
      <c r="H134" s="14" t="inlineStr">
        <is>
          <t>Free (overlength page charges may apply)</t>
        </is>
      </c>
      <c r="I134" s="14" t="inlineStr">
        <is>
          <t>Not published</t>
        </is>
      </c>
      <c r="J134" s="14" t="inlineStr"/>
      <c r="K134" s="14" t="inlineStr"/>
      <c r="L134" s="14" t="inlineStr"/>
      <c r="M134" s="14" t="inlineStr"/>
    </row>
    <row r="135">
      <c r="A135" s="14" t="inlineStr">
        <is>
          <t>Power, Energy &amp; Industrial Electronics</t>
        </is>
      </c>
      <c r="B135" s="15" t="inlineStr">
        <is>
          <t>IEEE Journal of Photovoltaics</t>
        </is>
      </c>
      <c r="C135" s="14" t="inlineStr">
        <is>
          <t>JPV</t>
        </is>
      </c>
      <c r="D135" s="14" t="inlineStr">
        <is>
          <t>Journal</t>
        </is>
      </c>
      <c r="E135" s="14" t="inlineStr">
        <is>
          <t>Hybrid</t>
        </is>
      </c>
      <c r="F135" s="16">
        <f>INDEX('Pricing rules'!$B$4:$B$6,MATCH(E135,'Pricing rules'!$A$4:$A$6,0))</f>
        <v/>
      </c>
      <c r="G135" s="16">
        <f>ROUND(F135*(1-'Pricing rules'!$B$10),0)</f>
        <v/>
      </c>
      <c r="H135" s="14" t="inlineStr">
        <is>
          <t>Free (overlength page charges may apply)</t>
        </is>
      </c>
      <c r="I135" s="14" t="inlineStr">
        <is>
          <t>Not published</t>
        </is>
      </c>
      <c r="J135" s="14" t="inlineStr"/>
      <c r="K135" s="14" t="inlineStr"/>
      <c r="L135" s="14" t="inlineStr"/>
      <c r="M135" s="14" t="inlineStr"/>
    </row>
    <row r="136">
      <c r="A136" s="14" t="inlineStr">
        <is>
          <t>Control, Robotics &amp; Systems</t>
        </is>
      </c>
      <c r="B136" s="15" t="inlineStr">
        <is>
          <t>IEEE Transactions on Automatic Control</t>
        </is>
      </c>
      <c r="C136" s="14" t="inlineStr">
        <is>
          <t>TAC</t>
        </is>
      </c>
      <c r="D136" s="14" t="inlineStr">
        <is>
          <t>Transactions</t>
        </is>
      </c>
      <c r="E136" s="14" t="inlineStr">
        <is>
          <t>Hybrid</t>
        </is>
      </c>
      <c r="F136" s="16">
        <f>INDEX('Pricing rules'!$B$4:$B$6,MATCH(E136,'Pricing rules'!$A$4:$A$6,0))</f>
        <v/>
      </c>
      <c r="G136" s="16">
        <f>ROUND(F136*(1-'Pricing rules'!$B$10),0)</f>
        <v/>
      </c>
      <c r="H136" s="14" t="inlineStr">
        <is>
          <t>Free (overlength page charges may apply)</t>
        </is>
      </c>
      <c r="I136" s="14" t="inlineStr">
        <is>
          <t>Not published</t>
        </is>
      </c>
      <c r="J136" s="14" t="inlineStr"/>
      <c r="K136" s="14" t="inlineStr"/>
      <c r="L136" s="14" t="inlineStr"/>
      <c r="M136" s="14" t="inlineStr"/>
    </row>
    <row r="137">
      <c r="A137" s="14" t="inlineStr">
        <is>
          <t>Control, Robotics &amp; Systems</t>
        </is>
      </c>
      <c r="B137" s="15" t="inlineStr">
        <is>
          <t>IEEE Transactions on Control Systems Technology</t>
        </is>
      </c>
      <c r="C137" s="14" t="inlineStr">
        <is>
          <t>TCST</t>
        </is>
      </c>
      <c r="D137" s="14" t="inlineStr">
        <is>
          <t>Transactions</t>
        </is>
      </c>
      <c r="E137" s="14" t="inlineStr">
        <is>
          <t>Hybrid</t>
        </is>
      </c>
      <c r="F137" s="16">
        <f>INDEX('Pricing rules'!$B$4:$B$6,MATCH(E137,'Pricing rules'!$A$4:$A$6,0))</f>
        <v/>
      </c>
      <c r="G137" s="16">
        <f>ROUND(F137*(1-'Pricing rules'!$B$10),0)</f>
        <v/>
      </c>
      <c r="H137" s="14" t="inlineStr">
        <is>
          <t>Free (overlength page charges may apply)</t>
        </is>
      </c>
      <c r="I137" s="14" t="inlineStr">
        <is>
          <t>Not published</t>
        </is>
      </c>
      <c r="J137" s="14" t="inlineStr"/>
      <c r="K137" s="14" t="inlineStr"/>
      <c r="L137" s="14" t="inlineStr"/>
      <c r="M137" s="14" t="inlineStr"/>
    </row>
    <row r="138">
      <c r="A138" s="14" t="inlineStr">
        <is>
          <t>Control, Robotics &amp; Systems</t>
        </is>
      </c>
      <c r="B138" s="15" t="inlineStr">
        <is>
          <t>IEEE Transactions on Control of Network Systems</t>
        </is>
      </c>
      <c r="C138" s="14" t="inlineStr">
        <is>
          <t>TCNS</t>
        </is>
      </c>
      <c r="D138" s="14" t="inlineStr">
        <is>
          <t>Transactions</t>
        </is>
      </c>
      <c r="E138" s="14" t="inlineStr">
        <is>
          <t>Hybrid</t>
        </is>
      </c>
      <c r="F138" s="16">
        <f>INDEX('Pricing rules'!$B$4:$B$6,MATCH(E138,'Pricing rules'!$A$4:$A$6,0))</f>
        <v/>
      </c>
      <c r="G138" s="16">
        <f>ROUND(F138*(1-'Pricing rules'!$B$10),0)</f>
        <v/>
      </c>
      <c r="H138" s="14" t="inlineStr">
        <is>
          <t>Free (overlength page charges may apply)</t>
        </is>
      </c>
      <c r="I138" s="14" t="inlineStr">
        <is>
          <t>Not published</t>
        </is>
      </c>
      <c r="J138" s="14" t="inlineStr"/>
      <c r="K138" s="14" t="inlineStr"/>
      <c r="L138" s="14" t="inlineStr"/>
      <c r="M138" s="14" t="inlineStr"/>
    </row>
    <row r="139">
      <c r="A139" s="14" t="inlineStr">
        <is>
          <t>Control, Robotics &amp; Systems</t>
        </is>
      </c>
      <c r="B139" s="15" t="inlineStr">
        <is>
          <t>IEEE Control Systems Letters</t>
        </is>
      </c>
      <c r="C139" s="14" t="inlineStr">
        <is>
          <t>L-CSS</t>
        </is>
      </c>
      <c r="D139" s="14" t="inlineStr">
        <is>
          <t>Letters</t>
        </is>
      </c>
      <c r="E139" s="14" t="inlineStr">
        <is>
          <t>Hybrid</t>
        </is>
      </c>
      <c r="F139" s="16">
        <f>INDEX('Pricing rules'!$B$4:$B$6,MATCH(E139,'Pricing rules'!$A$4:$A$6,0))</f>
        <v/>
      </c>
      <c r="G139" s="16">
        <f>ROUND(F139*(1-'Pricing rules'!$B$10),0)</f>
        <v/>
      </c>
      <c r="H139" s="14" t="inlineStr">
        <is>
          <t>Free (overlength page charges may apply)</t>
        </is>
      </c>
      <c r="I139" s="14" t="inlineStr">
        <is>
          <t>Not published</t>
        </is>
      </c>
      <c r="J139" s="14" t="inlineStr"/>
      <c r="K139" s="14" t="inlineStr"/>
      <c r="L139" s="14" t="inlineStr"/>
      <c r="M139" s="14" t="inlineStr"/>
    </row>
    <row r="140">
      <c r="A140" s="14" t="inlineStr">
        <is>
          <t>Control, Robotics &amp; Systems</t>
        </is>
      </c>
      <c r="B140" s="15" t="inlineStr">
        <is>
          <t>IEEE Open Journal of Control Systems</t>
        </is>
      </c>
      <c r="C140" s="14" t="inlineStr">
        <is>
          <t>OJ-CSYS</t>
        </is>
      </c>
      <c r="D140" s="14" t="inlineStr">
        <is>
          <t>Open journal</t>
        </is>
      </c>
      <c r="E140" s="14" t="inlineStr">
        <is>
          <t>Fully open access</t>
        </is>
      </c>
      <c r="F140" s="16">
        <f>INDEX('Pricing rules'!$B$4:$B$6,MATCH(E140,'Pricing rules'!$A$4:$A$6,0))</f>
        <v/>
      </c>
      <c r="G140" s="16">
        <f>ROUND(F140*(1-'Pricing rules'!$B$10),0)</f>
        <v/>
      </c>
      <c r="H140" s="14" t="inlineStr">
        <is>
          <t>Not available — OA only</t>
        </is>
      </c>
      <c r="I140" s="14" t="inlineStr">
        <is>
          <t>Not published</t>
        </is>
      </c>
      <c r="J140" s="14" t="inlineStr"/>
      <c r="K140" s="14" t="inlineStr"/>
      <c r="L140" s="14" t="inlineStr"/>
      <c r="M140" s="14" t="inlineStr"/>
    </row>
    <row r="141">
      <c r="A141" s="14" t="inlineStr">
        <is>
          <t>Control, Robotics &amp; Systems</t>
        </is>
      </c>
      <c r="B141" s="15" t="inlineStr">
        <is>
          <t>IEEE Transactions on Robotics</t>
        </is>
      </c>
      <c r="C141" s="14" t="inlineStr">
        <is>
          <t>T-RO</t>
        </is>
      </c>
      <c r="D141" s="14" t="inlineStr">
        <is>
          <t>Transactions</t>
        </is>
      </c>
      <c r="E141" s="14" t="inlineStr">
        <is>
          <t>Hybrid</t>
        </is>
      </c>
      <c r="F141" s="16">
        <f>INDEX('Pricing rules'!$B$4:$B$6,MATCH(E141,'Pricing rules'!$A$4:$A$6,0))</f>
        <v/>
      </c>
      <c r="G141" s="16">
        <f>ROUND(F141*(1-'Pricing rules'!$B$10),0)</f>
        <v/>
      </c>
      <c r="H141" s="14" t="inlineStr">
        <is>
          <t>Free (overlength page charges may apply)</t>
        </is>
      </c>
      <c r="I141" s="14" t="inlineStr">
        <is>
          <t>Not published</t>
        </is>
      </c>
      <c r="J141" s="14" t="inlineStr"/>
      <c r="K141" s="14" t="inlineStr"/>
      <c r="L141" s="14" t="inlineStr"/>
      <c r="M141" s="14" t="inlineStr"/>
    </row>
    <row r="142">
      <c r="A142" s="14" t="inlineStr">
        <is>
          <t>Control, Robotics &amp; Systems</t>
        </is>
      </c>
      <c r="B142" s="15" t="inlineStr">
        <is>
          <t>IEEE Robotics and Automation Letters</t>
        </is>
      </c>
      <c r="C142" s="14" t="inlineStr">
        <is>
          <t>RA-L</t>
        </is>
      </c>
      <c r="D142" s="14" t="inlineStr">
        <is>
          <t>Letters</t>
        </is>
      </c>
      <c r="E142" s="14" t="inlineStr">
        <is>
          <t>Hybrid</t>
        </is>
      </c>
      <c r="F142" s="16">
        <f>INDEX('Pricing rules'!$B$4:$B$6,MATCH(E142,'Pricing rules'!$A$4:$A$6,0))</f>
        <v/>
      </c>
      <c r="G142" s="16">
        <f>ROUND(F142*(1-'Pricing rules'!$B$10),0)</f>
        <v/>
      </c>
      <c r="H142" s="14" t="inlineStr">
        <is>
          <t>Free (overlength page charges may apply)</t>
        </is>
      </c>
      <c r="I142" s="14" t="inlineStr">
        <is>
          <t>Not published</t>
        </is>
      </c>
      <c r="J142" s="14" t="inlineStr"/>
      <c r="K142" s="14" t="inlineStr"/>
      <c r="L142" s="14" t="inlineStr"/>
      <c r="M142" s="14" t="inlineStr"/>
    </row>
    <row r="143">
      <c r="A143" s="14" t="inlineStr">
        <is>
          <t>Control, Robotics &amp; Systems</t>
        </is>
      </c>
      <c r="B143" s="15" t="inlineStr">
        <is>
          <t>IEEE Transactions on Automation Science and Engineering</t>
        </is>
      </c>
      <c r="C143" s="14" t="inlineStr">
        <is>
          <t>T-ASE</t>
        </is>
      </c>
      <c r="D143" s="14" t="inlineStr">
        <is>
          <t>Transactions</t>
        </is>
      </c>
      <c r="E143" s="14" t="inlineStr">
        <is>
          <t>Hybrid</t>
        </is>
      </c>
      <c r="F143" s="16">
        <f>INDEX('Pricing rules'!$B$4:$B$6,MATCH(E143,'Pricing rules'!$A$4:$A$6,0))</f>
        <v/>
      </c>
      <c r="G143" s="16">
        <f>ROUND(F143*(1-'Pricing rules'!$B$10),0)</f>
        <v/>
      </c>
      <c r="H143" s="14" t="inlineStr">
        <is>
          <t>Free (overlength page charges may apply)</t>
        </is>
      </c>
      <c r="I143" s="14" t="inlineStr">
        <is>
          <t>Not published</t>
        </is>
      </c>
      <c r="J143" s="14" t="inlineStr"/>
      <c r="K143" s="14" t="inlineStr"/>
      <c r="L143" s="14" t="inlineStr"/>
      <c r="M143" s="14" t="inlineStr"/>
    </row>
    <row r="144">
      <c r="A144" s="14" t="inlineStr">
        <is>
          <t>Control, Robotics &amp; Systems</t>
        </is>
      </c>
      <c r="B144" s="15" t="inlineStr">
        <is>
          <t>IEEE Transactions on Medical Robotics and Bionics</t>
        </is>
      </c>
      <c r="C144" s="14" t="inlineStr">
        <is>
          <t>T-MRB</t>
        </is>
      </c>
      <c r="D144" s="14" t="inlineStr">
        <is>
          <t>Transactions</t>
        </is>
      </c>
      <c r="E144" s="14" t="inlineStr">
        <is>
          <t>Hybrid</t>
        </is>
      </c>
      <c r="F144" s="16">
        <f>INDEX('Pricing rules'!$B$4:$B$6,MATCH(E144,'Pricing rules'!$A$4:$A$6,0))</f>
        <v/>
      </c>
      <c r="G144" s="16">
        <f>ROUND(F144*(1-'Pricing rules'!$B$10),0)</f>
        <v/>
      </c>
      <c r="H144" s="14" t="inlineStr">
        <is>
          <t>Free (overlength page charges may apply)</t>
        </is>
      </c>
      <c r="I144" s="14" t="inlineStr">
        <is>
          <t>Not published</t>
        </is>
      </c>
      <c r="J144" s="14" t="inlineStr"/>
      <c r="K144" s="14" t="inlineStr"/>
      <c r="L144" s="14" t="inlineStr"/>
      <c r="M144" s="14" t="inlineStr"/>
    </row>
    <row r="145">
      <c r="A145" s="14" t="inlineStr">
        <is>
          <t>Control, Robotics &amp; Systems</t>
        </is>
      </c>
      <c r="B145" s="15" t="inlineStr">
        <is>
          <t>IEEE Transactions on Field Robotics</t>
        </is>
      </c>
      <c r="C145" s="14" t="inlineStr">
        <is>
          <t>T-FR</t>
        </is>
      </c>
      <c r="D145" s="14" t="inlineStr">
        <is>
          <t>Transactions</t>
        </is>
      </c>
      <c r="E145" s="14" t="inlineStr">
        <is>
          <t>Hybrid</t>
        </is>
      </c>
      <c r="F145" s="16">
        <f>INDEX('Pricing rules'!$B$4:$B$6,MATCH(E145,'Pricing rules'!$A$4:$A$6,0))</f>
        <v/>
      </c>
      <c r="G145" s="16">
        <f>ROUND(F145*(1-'Pricing rules'!$B$10),0)</f>
        <v/>
      </c>
      <c r="H145" s="14" t="inlineStr">
        <is>
          <t>Free (overlength page charges may apply)</t>
        </is>
      </c>
      <c r="I145" s="14" t="inlineStr">
        <is>
          <t>Not published</t>
        </is>
      </c>
      <c r="J145" s="14" t="inlineStr"/>
      <c r="K145" s="14" t="inlineStr"/>
      <c r="L145" s="14" t="inlineStr"/>
      <c r="M145" s="18" t="inlineStr">
        <is>
          <t>Open-access model not confirmed for 2026 — check the journal's author page.</t>
        </is>
      </c>
    </row>
    <row r="146">
      <c r="A146" s="14" t="inlineStr">
        <is>
          <t>Control, Robotics &amp; Systems</t>
        </is>
      </c>
      <c r="B146" s="15" t="inlineStr">
        <is>
          <t>IEEE/ASME Transactions on Mechatronics</t>
        </is>
      </c>
      <c r="C146" s="14" t="inlineStr">
        <is>
          <t>TMECH</t>
        </is>
      </c>
      <c r="D146" s="14" t="inlineStr">
        <is>
          <t>Transactions</t>
        </is>
      </c>
      <c r="E146" s="14" t="inlineStr">
        <is>
          <t>Hybrid</t>
        </is>
      </c>
      <c r="F146" s="16">
        <f>INDEX('Pricing rules'!$B$4:$B$6,MATCH(E146,'Pricing rules'!$A$4:$A$6,0))</f>
        <v/>
      </c>
      <c r="G146" s="16">
        <f>ROUND(F146*(1-'Pricing rules'!$B$10),0)</f>
        <v/>
      </c>
      <c r="H146" s="14" t="inlineStr">
        <is>
          <t>Free (overlength page charges may apply)</t>
        </is>
      </c>
      <c r="I146" s="14" t="inlineStr">
        <is>
          <t>Not published</t>
        </is>
      </c>
      <c r="J146" s="14" t="inlineStr"/>
      <c r="K146" s="14" t="inlineStr"/>
      <c r="L146" s="14" t="inlineStr"/>
      <c r="M146" s="14" t="inlineStr"/>
    </row>
    <row r="147">
      <c r="A147" s="14" t="inlineStr">
        <is>
          <t>Control, Robotics &amp; Systems</t>
        </is>
      </c>
      <c r="B147" s="15" t="inlineStr">
        <is>
          <t>IEEE Systems Journal</t>
        </is>
      </c>
      <c r="C147" s="14" t="inlineStr">
        <is>
          <t>ISJ</t>
        </is>
      </c>
      <c r="D147" s="14" t="inlineStr">
        <is>
          <t>Journal</t>
        </is>
      </c>
      <c r="E147" s="14" t="inlineStr">
        <is>
          <t>Hybrid</t>
        </is>
      </c>
      <c r="F147" s="16">
        <f>INDEX('Pricing rules'!$B$4:$B$6,MATCH(E147,'Pricing rules'!$A$4:$A$6,0))</f>
        <v/>
      </c>
      <c r="G147" s="16">
        <f>ROUND(F147*(1-'Pricing rules'!$B$10),0)</f>
        <v/>
      </c>
      <c r="H147" s="14" t="inlineStr">
        <is>
          <t>Free (overlength page charges may apply)</t>
        </is>
      </c>
      <c r="I147" s="14" t="inlineStr">
        <is>
          <t>Not published</t>
        </is>
      </c>
      <c r="J147" s="14" t="inlineStr"/>
      <c r="K147" s="14" t="inlineStr"/>
      <c r="L147" s="14" t="inlineStr"/>
      <c r="M147" s="14" t="inlineStr"/>
    </row>
    <row r="148">
      <c r="A148" s="14" t="inlineStr">
        <is>
          <t>Control, Robotics &amp; Systems</t>
        </is>
      </c>
      <c r="B148" s="15" t="inlineStr">
        <is>
          <t>IEEE Open Journal of Systems Engineering</t>
        </is>
      </c>
      <c r="C148" s="14" t="inlineStr">
        <is>
          <t>OJSE</t>
        </is>
      </c>
      <c r="D148" s="14" t="inlineStr">
        <is>
          <t>Open journal</t>
        </is>
      </c>
      <c r="E148" s="14" t="inlineStr">
        <is>
          <t>Fully open access</t>
        </is>
      </c>
      <c r="F148" s="16">
        <f>INDEX('Pricing rules'!$B$4:$B$6,MATCH(E148,'Pricing rules'!$A$4:$A$6,0))</f>
        <v/>
      </c>
      <c r="G148" s="16">
        <f>ROUND(F148*(1-'Pricing rules'!$B$10),0)</f>
        <v/>
      </c>
      <c r="H148" s="14" t="inlineStr">
        <is>
          <t>Not available — OA only</t>
        </is>
      </c>
      <c r="I148" s="14" t="inlineStr">
        <is>
          <t>Not published</t>
        </is>
      </c>
      <c r="J148" s="14" t="inlineStr"/>
      <c r="K148" s="14" t="inlineStr"/>
      <c r="L148" s="14" t="inlineStr"/>
      <c r="M148" s="14" t="inlineStr"/>
    </row>
    <row r="149">
      <c r="A149" s="14" t="inlineStr">
        <is>
          <t>Control, Robotics &amp; Systems</t>
        </is>
      </c>
      <c r="B149" s="15" t="inlineStr">
        <is>
          <t>IEEE Transactions on Reliability</t>
        </is>
      </c>
      <c r="C149" s="14" t="inlineStr">
        <is>
          <t>TR</t>
        </is>
      </c>
      <c r="D149" s="14" t="inlineStr">
        <is>
          <t>Transactions</t>
        </is>
      </c>
      <c r="E149" s="14" t="inlineStr">
        <is>
          <t>Hybrid</t>
        </is>
      </c>
      <c r="F149" s="16">
        <f>INDEX('Pricing rules'!$B$4:$B$6,MATCH(E149,'Pricing rules'!$A$4:$A$6,0))</f>
        <v/>
      </c>
      <c r="G149" s="16">
        <f>ROUND(F149*(1-'Pricing rules'!$B$10),0)</f>
        <v/>
      </c>
      <c r="H149" s="14" t="inlineStr">
        <is>
          <t>Free (overlength page charges may apply)</t>
        </is>
      </c>
      <c r="I149" s="14" t="inlineStr">
        <is>
          <t>Not published</t>
        </is>
      </c>
      <c r="J149" s="14" t="inlineStr"/>
      <c r="K149" s="14" t="inlineStr"/>
      <c r="L149" s="14" t="inlineStr"/>
      <c r="M149" s="14" t="inlineStr"/>
    </row>
    <row r="150">
      <c r="A150" s="14" t="inlineStr">
        <is>
          <t>Vehicles &amp; Transportation</t>
        </is>
      </c>
      <c r="B150" s="15" t="inlineStr">
        <is>
          <t>IEEE Transactions on Vehicular Technology</t>
        </is>
      </c>
      <c r="C150" s="14" t="inlineStr">
        <is>
          <t>TVT</t>
        </is>
      </c>
      <c r="D150" s="14" t="inlineStr">
        <is>
          <t>Transactions</t>
        </is>
      </c>
      <c r="E150" s="14" t="inlineStr">
        <is>
          <t>Hybrid</t>
        </is>
      </c>
      <c r="F150" s="16">
        <f>INDEX('Pricing rules'!$B$4:$B$6,MATCH(E150,'Pricing rules'!$A$4:$A$6,0))</f>
        <v/>
      </c>
      <c r="G150" s="16">
        <f>ROUND(F150*(1-'Pricing rules'!$B$10),0)</f>
        <v/>
      </c>
      <c r="H150" s="14" t="inlineStr">
        <is>
          <t>Free (overlength page charges may apply)</t>
        </is>
      </c>
      <c r="I150" s="14" t="inlineStr">
        <is>
          <t>~3–10 weeks main review window</t>
        </is>
      </c>
      <c r="J150" s="14" t="inlineStr">
        <is>
          <t>Third-party guidance</t>
        </is>
      </c>
      <c r="K150" s="17" t="inlineStr">
        <is>
          <t>https://manusights.com/blog/ieee-transactions-on-vehicular-technology-under-review</t>
        </is>
      </c>
      <c r="L150" s="14" t="inlineStr"/>
      <c r="M150" s="14" t="inlineStr"/>
    </row>
    <row r="151">
      <c r="A151" s="14" t="inlineStr">
        <is>
          <t>Vehicles &amp; Transportation</t>
        </is>
      </c>
      <c r="B151" s="15" t="inlineStr">
        <is>
          <t>IEEE Open Journal of Vehicular Technology</t>
        </is>
      </c>
      <c r="C151" s="14" t="inlineStr">
        <is>
          <t>OJVT</t>
        </is>
      </c>
      <c r="D151" s="14" t="inlineStr">
        <is>
          <t>Open journal</t>
        </is>
      </c>
      <c r="E151" s="14" t="inlineStr">
        <is>
          <t>Fully open access</t>
        </is>
      </c>
      <c r="F151" s="16">
        <f>INDEX('Pricing rules'!$B$4:$B$6,MATCH(E151,'Pricing rules'!$A$4:$A$6,0))</f>
        <v/>
      </c>
      <c r="G151" s="16">
        <f>ROUND(F151*(1-'Pricing rules'!$B$10),0)</f>
        <v/>
      </c>
      <c r="H151" s="14" t="inlineStr">
        <is>
          <t>Not available — OA only</t>
        </is>
      </c>
      <c r="I151" s="14" t="inlineStr">
        <is>
          <t>Not published</t>
        </is>
      </c>
      <c r="J151" s="14" t="inlineStr"/>
      <c r="K151" s="14" t="inlineStr"/>
      <c r="L151" s="14" t="inlineStr"/>
      <c r="M151" s="14" t="inlineStr"/>
    </row>
    <row r="152">
      <c r="A152" s="14" t="inlineStr">
        <is>
          <t>Vehicles &amp; Transportation</t>
        </is>
      </c>
      <c r="B152" s="15" t="inlineStr">
        <is>
          <t>IEEE Transactions on Intelligent Transportation Systems</t>
        </is>
      </c>
      <c r="C152" s="14" t="inlineStr">
        <is>
          <t>T-ITS</t>
        </is>
      </c>
      <c r="D152" s="14" t="inlineStr">
        <is>
          <t>Transactions</t>
        </is>
      </c>
      <c r="E152" s="14" t="inlineStr">
        <is>
          <t>Hybrid</t>
        </is>
      </c>
      <c r="F152" s="16">
        <f>INDEX('Pricing rules'!$B$4:$B$6,MATCH(E152,'Pricing rules'!$A$4:$A$6,0))</f>
        <v/>
      </c>
      <c r="G152" s="16">
        <f>ROUND(F152*(1-'Pricing rules'!$B$10),0)</f>
        <v/>
      </c>
      <c r="H152" s="14" t="inlineStr">
        <is>
          <t>Free (overlength page charges may apply)</t>
        </is>
      </c>
      <c r="I152" s="14" t="inlineStr">
        <is>
          <t>Not published</t>
        </is>
      </c>
      <c r="J152" s="14" t="inlineStr"/>
      <c r="K152" s="14" t="inlineStr"/>
      <c r="L152" s="14" t="inlineStr"/>
      <c r="M152" s="14" t="inlineStr"/>
    </row>
    <row r="153">
      <c r="A153" s="14" t="inlineStr">
        <is>
          <t>Vehicles &amp; Transportation</t>
        </is>
      </c>
      <c r="B153" s="15" t="inlineStr">
        <is>
          <t>IEEE Transactions on Intelligent Vehicles</t>
        </is>
      </c>
      <c r="C153" s="14" t="inlineStr">
        <is>
          <t>T-IV</t>
        </is>
      </c>
      <c r="D153" s="14" t="inlineStr">
        <is>
          <t>Transactions</t>
        </is>
      </c>
      <c r="E153" s="14" t="inlineStr">
        <is>
          <t>Hybrid</t>
        </is>
      </c>
      <c r="F153" s="16">
        <f>INDEX('Pricing rules'!$B$4:$B$6,MATCH(E153,'Pricing rules'!$A$4:$A$6,0))</f>
        <v/>
      </c>
      <c r="G153" s="16">
        <f>ROUND(F153*(1-'Pricing rules'!$B$10),0)</f>
        <v/>
      </c>
      <c r="H153" s="14" t="inlineStr">
        <is>
          <t>Free (overlength page charges may apply)</t>
        </is>
      </c>
      <c r="I153" s="14" t="inlineStr">
        <is>
          <t>Not published</t>
        </is>
      </c>
      <c r="J153" s="14" t="inlineStr"/>
      <c r="K153" s="14" t="inlineStr"/>
      <c r="L153" s="14" t="inlineStr"/>
      <c r="M153" s="14" t="inlineStr"/>
    </row>
    <row r="154">
      <c r="A154" s="14" t="inlineStr">
        <is>
          <t>Vehicles &amp; Transportation</t>
        </is>
      </c>
      <c r="B154" s="15" t="inlineStr">
        <is>
          <t>IEEE Open Journal of Intelligent Transportation Systems</t>
        </is>
      </c>
      <c r="C154" s="14" t="inlineStr">
        <is>
          <t>OJ-ITS</t>
        </is>
      </c>
      <c r="D154" s="14" t="inlineStr">
        <is>
          <t>Open journal</t>
        </is>
      </c>
      <c r="E154" s="14" t="inlineStr">
        <is>
          <t>Fully open access</t>
        </is>
      </c>
      <c r="F154" s="16">
        <f>INDEX('Pricing rules'!$B$4:$B$6,MATCH(E154,'Pricing rules'!$A$4:$A$6,0))</f>
        <v/>
      </c>
      <c r="G154" s="16">
        <f>ROUND(F154*(1-'Pricing rules'!$B$10),0)</f>
        <v/>
      </c>
      <c r="H154" s="14" t="inlineStr">
        <is>
          <t>Not available — OA only</t>
        </is>
      </c>
      <c r="I154" s="14" t="inlineStr">
        <is>
          <t>Not published</t>
        </is>
      </c>
      <c r="J154" s="14" t="inlineStr"/>
      <c r="K154" s="14" t="inlineStr"/>
      <c r="L154" s="14" t="inlineStr"/>
      <c r="M154" s="14" t="inlineStr"/>
    </row>
    <row r="155">
      <c r="A155" s="14" t="inlineStr">
        <is>
          <t>Instrumentation, Sensors &amp; Measurement</t>
        </is>
      </c>
      <c r="B155" s="15" t="inlineStr">
        <is>
          <t>IEEE Transactions on Instrumentation and Measurement</t>
        </is>
      </c>
      <c r="C155" s="14" t="inlineStr">
        <is>
          <t>TIM</t>
        </is>
      </c>
      <c r="D155" s="14" t="inlineStr">
        <is>
          <t>Transactions</t>
        </is>
      </c>
      <c r="E155" s="14" t="inlineStr">
        <is>
          <t>Hybrid</t>
        </is>
      </c>
      <c r="F155" s="16">
        <f>INDEX('Pricing rules'!$B$4:$B$6,MATCH(E155,'Pricing rules'!$A$4:$A$6,0))</f>
        <v/>
      </c>
      <c r="G155" s="16">
        <f>ROUND(F155*(1-'Pricing rules'!$B$10),0)</f>
        <v/>
      </c>
      <c r="H155" s="14" t="inlineStr">
        <is>
          <t>Free (overlength page charges may apply)</t>
        </is>
      </c>
      <c r="I155" s="14" t="inlineStr">
        <is>
          <t>Not published</t>
        </is>
      </c>
      <c r="J155" s="14" t="inlineStr"/>
      <c r="K155" s="14" t="inlineStr"/>
      <c r="L155" s="14" t="inlineStr"/>
      <c r="M155" s="14" t="inlineStr"/>
    </row>
    <row r="156">
      <c r="A156" s="14" t="inlineStr">
        <is>
          <t>Instrumentation, Sensors &amp; Measurement</t>
        </is>
      </c>
      <c r="B156" s="15" t="inlineStr">
        <is>
          <t>IEEE Open Journal of Instrumentation and Measurement</t>
        </is>
      </c>
      <c r="C156" s="14" t="inlineStr">
        <is>
          <t>OJIM</t>
        </is>
      </c>
      <c r="D156" s="14" t="inlineStr">
        <is>
          <t>Open journal</t>
        </is>
      </c>
      <c r="E156" s="14" t="inlineStr">
        <is>
          <t>Fully open access</t>
        </is>
      </c>
      <c r="F156" s="16">
        <f>INDEX('Pricing rules'!$B$4:$B$6,MATCH(E156,'Pricing rules'!$A$4:$A$6,0))</f>
        <v/>
      </c>
      <c r="G156" s="16">
        <f>ROUND(F156*(1-'Pricing rules'!$B$10),0)</f>
        <v/>
      </c>
      <c r="H156" s="14" t="inlineStr">
        <is>
          <t>Not available — OA only</t>
        </is>
      </c>
      <c r="I156" s="14" t="inlineStr">
        <is>
          <t>Not published</t>
        </is>
      </c>
      <c r="J156" s="14" t="inlineStr"/>
      <c r="K156" s="14" t="inlineStr"/>
      <c r="L156" s="14" t="inlineStr"/>
      <c r="M156" s="14" t="inlineStr">
        <is>
          <t>APC US$2,160 confirmed by IEEE IMS for 2026.</t>
        </is>
      </c>
    </row>
    <row r="157">
      <c r="A157" s="14" t="inlineStr">
        <is>
          <t>Instrumentation, Sensors &amp; Measurement</t>
        </is>
      </c>
      <c r="B157" s="15" t="inlineStr">
        <is>
          <t>IEEE Sensors Journal</t>
        </is>
      </c>
      <c r="C157" s="14" t="inlineStr">
        <is>
          <t>JSEN</t>
        </is>
      </c>
      <c r="D157" s="14" t="inlineStr">
        <is>
          <t>Journal</t>
        </is>
      </c>
      <c r="E157" s="14" t="inlineStr">
        <is>
          <t>Hybrid</t>
        </is>
      </c>
      <c r="F157" s="16">
        <f>INDEX('Pricing rules'!$B$4:$B$6,MATCH(E157,'Pricing rules'!$A$4:$A$6,0))</f>
        <v/>
      </c>
      <c r="G157" s="16">
        <f>ROUND(F157*(1-'Pricing rules'!$B$10),0)</f>
        <v/>
      </c>
      <c r="H157" s="14" t="inlineStr">
        <is>
          <t>Free (overlength page charges may apply)</t>
        </is>
      </c>
      <c r="I157" s="14" t="inlineStr">
        <is>
          <t>Not published</t>
        </is>
      </c>
      <c r="J157" s="14" t="inlineStr"/>
      <c r="K157" s="14" t="inlineStr"/>
      <c r="L157" s="14" t="inlineStr"/>
      <c r="M157" s="14" t="inlineStr"/>
    </row>
    <row r="158">
      <c r="A158" s="14" t="inlineStr">
        <is>
          <t>Instrumentation, Sensors &amp; Measurement</t>
        </is>
      </c>
      <c r="B158" s="15" t="inlineStr">
        <is>
          <t>IEEE Sensors Letters</t>
        </is>
      </c>
      <c r="C158" s="14" t="inlineStr">
        <is>
          <t>LSENS</t>
        </is>
      </c>
      <c r="D158" s="14" t="inlineStr">
        <is>
          <t>Letters</t>
        </is>
      </c>
      <c r="E158" s="14" t="inlineStr">
        <is>
          <t>Hybrid</t>
        </is>
      </c>
      <c r="F158" s="16">
        <f>INDEX('Pricing rules'!$B$4:$B$6,MATCH(E158,'Pricing rules'!$A$4:$A$6,0))</f>
        <v/>
      </c>
      <c r="G158" s="16">
        <f>ROUND(F158*(1-'Pricing rules'!$B$10),0)</f>
        <v/>
      </c>
      <c r="H158" s="14" t="inlineStr">
        <is>
          <t>Free (overlength page charges may apply)</t>
        </is>
      </c>
      <c r="I158" s="14" t="inlineStr">
        <is>
          <t>Not published</t>
        </is>
      </c>
      <c r="J158" s="14" t="inlineStr"/>
      <c r="K158" s="14" t="inlineStr"/>
      <c r="L158" s="14" t="inlineStr"/>
      <c r="M158" s="14" t="inlineStr"/>
    </row>
    <row r="159">
      <c r="A159" s="14" t="inlineStr">
        <is>
          <t>Biomedical &amp; Health</t>
        </is>
      </c>
      <c r="B159" s="15" t="inlineStr">
        <is>
          <t>IEEE Transactions on Biomedical Engineering</t>
        </is>
      </c>
      <c r="C159" s="14" t="inlineStr">
        <is>
          <t>TBME</t>
        </is>
      </c>
      <c r="D159" s="14" t="inlineStr">
        <is>
          <t>Transactions</t>
        </is>
      </c>
      <c r="E159" s="14" t="inlineStr">
        <is>
          <t>Hybrid</t>
        </is>
      </c>
      <c r="F159" s="16">
        <f>INDEX('Pricing rules'!$B$4:$B$6,MATCH(E159,'Pricing rules'!$A$4:$A$6,0))</f>
        <v/>
      </c>
      <c r="G159" s="16">
        <f>ROUND(F159*(1-'Pricing rules'!$B$10),0)</f>
        <v/>
      </c>
      <c r="H159" s="14" t="inlineStr">
        <is>
          <t>Free (overlength page charges may apply)</t>
        </is>
      </c>
      <c r="I159" s="14" t="inlineStr">
        <is>
          <t>Not published</t>
        </is>
      </c>
      <c r="J159" s="14" t="inlineStr"/>
      <c r="K159" s="14" t="inlineStr"/>
      <c r="L159" s="14" t="inlineStr"/>
      <c r="M159" s="14" t="inlineStr"/>
    </row>
    <row r="160">
      <c r="A160" s="14" t="inlineStr">
        <is>
          <t>Biomedical &amp; Health</t>
        </is>
      </c>
      <c r="B160" s="15" t="inlineStr">
        <is>
          <t>IEEE Transactions on Medical Imaging</t>
        </is>
      </c>
      <c r="C160" s="14" t="inlineStr">
        <is>
          <t>TMI</t>
        </is>
      </c>
      <c r="D160" s="14" t="inlineStr">
        <is>
          <t>Transactions</t>
        </is>
      </c>
      <c r="E160" s="14" t="inlineStr">
        <is>
          <t>Hybrid</t>
        </is>
      </c>
      <c r="F160" s="16">
        <f>INDEX('Pricing rules'!$B$4:$B$6,MATCH(E160,'Pricing rules'!$A$4:$A$6,0))</f>
        <v/>
      </c>
      <c r="G160" s="16">
        <f>ROUND(F160*(1-'Pricing rules'!$B$10),0)</f>
        <v/>
      </c>
      <c r="H160" s="14" t="inlineStr">
        <is>
          <t>Free (overlength page charges may apply)</t>
        </is>
      </c>
      <c r="I160" s="14" t="inlineStr">
        <is>
          <t>Not published</t>
        </is>
      </c>
      <c r="J160" s="14" t="inlineStr"/>
      <c r="K160" s="14" t="inlineStr"/>
      <c r="L160" s="14" t="inlineStr"/>
      <c r="M160" s="14" t="inlineStr"/>
    </row>
    <row r="161">
      <c r="A161" s="14" t="inlineStr">
        <is>
          <t>Biomedical &amp; Health</t>
        </is>
      </c>
      <c r="B161" s="15" t="inlineStr">
        <is>
          <t>IEEE Journal of Biomedical and Health Informatics</t>
        </is>
      </c>
      <c r="C161" s="14" t="inlineStr">
        <is>
          <t>JBHI</t>
        </is>
      </c>
      <c r="D161" s="14" t="inlineStr">
        <is>
          <t>Journal</t>
        </is>
      </c>
      <c r="E161" s="14" t="inlineStr">
        <is>
          <t>Hybrid</t>
        </is>
      </c>
      <c r="F161" s="16">
        <f>INDEX('Pricing rules'!$B$4:$B$6,MATCH(E161,'Pricing rules'!$A$4:$A$6,0))</f>
        <v/>
      </c>
      <c r="G161" s="16">
        <f>ROUND(F161*(1-'Pricing rules'!$B$10),0)</f>
        <v/>
      </c>
      <c r="H161" s="14" t="inlineStr">
        <is>
          <t>Free (overlength page charges may apply)</t>
        </is>
      </c>
      <c r="I161" s="14" t="inlineStr">
        <is>
          <t>Not published</t>
        </is>
      </c>
      <c r="J161" s="14" t="inlineStr"/>
      <c r="K161" s="14" t="inlineStr"/>
      <c r="L161" s="14" t="inlineStr"/>
      <c r="M161" s="14" t="inlineStr"/>
    </row>
    <row r="162">
      <c r="A162" s="14" t="inlineStr">
        <is>
          <t>Biomedical &amp; Health</t>
        </is>
      </c>
      <c r="B162" s="15" t="inlineStr">
        <is>
          <t>IEEE Transactions on Neural Systems and Rehabilitation Engineering</t>
        </is>
      </c>
      <c r="C162" s="14" t="inlineStr">
        <is>
          <t>TNSRE</t>
        </is>
      </c>
      <c r="D162" s="14" t="inlineStr">
        <is>
          <t>Transactions</t>
        </is>
      </c>
      <c r="E162" s="14" t="inlineStr">
        <is>
          <t>Fully open access</t>
        </is>
      </c>
      <c r="F162" s="16">
        <f>INDEX('Pricing rules'!$B$4:$B$6,MATCH(E162,'Pricing rules'!$A$4:$A$6,0))</f>
        <v/>
      </c>
      <c r="G162" s="16">
        <f>ROUND(F162*(1-'Pricing rules'!$B$10),0)</f>
        <v/>
      </c>
      <c r="H162" s="14" t="inlineStr">
        <is>
          <t>Not available — OA only</t>
        </is>
      </c>
      <c r="I162" s="14" t="inlineStr">
        <is>
          <t>Not published</t>
        </is>
      </c>
      <c r="J162" s="14" t="inlineStr"/>
      <c r="K162" s="14" t="inlineStr"/>
      <c r="L162" s="14" t="inlineStr"/>
      <c r="M162" s="14" t="inlineStr"/>
    </row>
    <row r="163">
      <c r="A163" s="14" t="inlineStr">
        <is>
          <t>Biomedical &amp; Health</t>
        </is>
      </c>
      <c r="B163" s="15" t="inlineStr">
        <is>
          <t>IEEE Reviews in Biomedical Engineering</t>
        </is>
      </c>
      <c r="C163" s="14" t="inlineStr">
        <is>
          <t>RBME</t>
        </is>
      </c>
      <c r="D163" s="14" t="inlineStr">
        <is>
          <t>Review journal</t>
        </is>
      </c>
      <c r="E163" s="14" t="inlineStr">
        <is>
          <t>Hybrid</t>
        </is>
      </c>
      <c r="F163" s="16">
        <f>INDEX('Pricing rules'!$B$4:$B$6,MATCH(E163,'Pricing rules'!$A$4:$A$6,0))</f>
        <v/>
      </c>
      <c r="G163" s="16">
        <f>ROUND(F163*(1-'Pricing rules'!$B$10),0)</f>
        <v/>
      </c>
      <c r="H163" s="14" t="inlineStr">
        <is>
          <t>Free (overlength page charges may apply)</t>
        </is>
      </c>
      <c r="I163" s="14" t="inlineStr">
        <is>
          <t>Not published</t>
        </is>
      </c>
      <c r="J163" s="14" t="inlineStr"/>
      <c r="K163" s="14" t="inlineStr"/>
      <c r="L163" s="14" t="inlineStr"/>
      <c r="M163" s="14" t="inlineStr"/>
    </row>
    <row r="164">
      <c r="A164" s="14" t="inlineStr">
        <is>
          <t>Biomedical &amp; Health</t>
        </is>
      </c>
      <c r="B164" s="15" t="inlineStr">
        <is>
          <t>IEEE Open Journal of Engineering in Medicine and Biology</t>
        </is>
      </c>
      <c r="C164" s="14" t="inlineStr">
        <is>
          <t>OJEMB</t>
        </is>
      </c>
      <c r="D164" s="14" t="inlineStr">
        <is>
          <t>Open journal</t>
        </is>
      </c>
      <c r="E164" s="14" t="inlineStr">
        <is>
          <t>Fully open access</t>
        </is>
      </c>
      <c r="F164" s="16">
        <f>INDEX('Pricing rules'!$B$4:$B$6,MATCH(E164,'Pricing rules'!$A$4:$A$6,0))</f>
        <v/>
      </c>
      <c r="G164" s="16">
        <f>ROUND(F164*(1-'Pricing rules'!$B$10),0)</f>
        <v/>
      </c>
      <c r="H164" s="14" t="inlineStr">
        <is>
          <t>Not available — OA only</t>
        </is>
      </c>
      <c r="I164" s="14" t="inlineStr">
        <is>
          <t>Not published</t>
        </is>
      </c>
      <c r="J164" s="14" t="inlineStr"/>
      <c r="K164" s="14" t="inlineStr"/>
      <c r="L164" s="14" t="inlineStr"/>
      <c r="M164" s="14" t="inlineStr"/>
    </row>
    <row r="165">
      <c r="A165" s="14" t="inlineStr">
        <is>
          <t>Biomedical &amp; Health</t>
        </is>
      </c>
      <c r="B165" s="15" t="inlineStr">
        <is>
          <t>IEEE Journal of Translational Engineering in Health and Medicine</t>
        </is>
      </c>
      <c r="C165" s="14" t="inlineStr">
        <is>
          <t>JTEHM</t>
        </is>
      </c>
      <c r="D165" s="14" t="inlineStr">
        <is>
          <t>Journal</t>
        </is>
      </c>
      <c r="E165" s="14" t="inlineStr">
        <is>
          <t>Fully open access</t>
        </is>
      </c>
      <c r="F165" s="16">
        <f>INDEX('Pricing rules'!$B$4:$B$6,MATCH(E165,'Pricing rules'!$A$4:$A$6,0))</f>
        <v/>
      </c>
      <c r="G165" s="16">
        <f>ROUND(F165*(1-'Pricing rules'!$B$10),0)</f>
        <v/>
      </c>
      <c r="H165" s="14" t="inlineStr">
        <is>
          <t>Not available — OA only</t>
        </is>
      </c>
      <c r="I165" s="14" t="inlineStr">
        <is>
          <t>Not published</t>
        </is>
      </c>
      <c r="J165" s="14" t="inlineStr"/>
      <c r="K165" s="14" t="inlineStr"/>
      <c r="L165" s="14" t="inlineStr"/>
      <c r="M165" s="14" t="inlineStr"/>
    </row>
    <row r="166">
      <c r="A166" s="14" t="inlineStr">
        <is>
          <t>Biomedical &amp; Health</t>
        </is>
      </c>
      <c r="B166" s="15" t="inlineStr">
        <is>
          <t>IEEE Transactions on NanoBioscience</t>
        </is>
      </c>
      <c r="C166" s="14" t="inlineStr">
        <is>
          <t>TNB</t>
        </is>
      </c>
      <c r="D166" s="14" t="inlineStr">
        <is>
          <t>Transactions</t>
        </is>
      </c>
      <c r="E166" s="14" t="inlineStr">
        <is>
          <t>Hybrid</t>
        </is>
      </c>
      <c r="F166" s="16">
        <f>INDEX('Pricing rules'!$B$4:$B$6,MATCH(E166,'Pricing rules'!$A$4:$A$6,0))</f>
        <v/>
      </c>
      <c r="G166" s="16">
        <f>ROUND(F166*(1-'Pricing rules'!$B$10),0)</f>
        <v/>
      </c>
      <c r="H166" s="14" t="inlineStr">
        <is>
          <t>Free (overlength page charges may apply)</t>
        </is>
      </c>
      <c r="I166" s="14" t="inlineStr">
        <is>
          <t>Not published</t>
        </is>
      </c>
      <c r="J166" s="14" t="inlineStr"/>
      <c r="K166" s="14" t="inlineStr"/>
      <c r="L166" s="14" t="inlineStr"/>
      <c r="M166" s="14" t="inlineStr"/>
    </row>
    <row r="167">
      <c r="A167" s="14" t="inlineStr">
        <is>
          <t>Biomedical &amp; Health</t>
        </is>
      </c>
      <c r="B167" s="15" t="inlineStr">
        <is>
          <t>IEEE/ACM Transactions on Computational Biology and Bioinformatics</t>
        </is>
      </c>
      <c r="C167" s="14" t="inlineStr">
        <is>
          <t>TCBB</t>
        </is>
      </c>
      <c r="D167" s="14" t="inlineStr">
        <is>
          <t>Transactions</t>
        </is>
      </c>
      <c r="E167" s="14" t="inlineStr">
        <is>
          <t>Hybrid</t>
        </is>
      </c>
      <c r="F167" s="16">
        <f>INDEX('Pricing rules'!$B$4:$B$6,MATCH(E167,'Pricing rules'!$A$4:$A$6,0))</f>
        <v/>
      </c>
      <c r="G167" s="16">
        <f>ROUND(F167*(1-'Pricing rules'!$B$10),0)</f>
        <v/>
      </c>
      <c r="H167" s="14" t="inlineStr">
        <is>
          <t>Free (overlength page charges may apply)</t>
        </is>
      </c>
      <c r="I167" s="14" t="inlineStr">
        <is>
          <t>Not published</t>
        </is>
      </c>
      <c r="J167" s="14" t="inlineStr"/>
      <c r="K167" s="14" t="inlineStr"/>
      <c r="L167" s="14" t="inlineStr"/>
      <c r="M167" s="14" t="inlineStr"/>
    </row>
    <row r="168">
      <c r="A168" s="14" t="inlineStr">
        <is>
          <t>Biomedical &amp; Health</t>
        </is>
      </c>
      <c r="B168" s="15" t="inlineStr">
        <is>
          <t>IEEE Transactions on Radiation and Plasma Medical Sciences</t>
        </is>
      </c>
      <c r="C168" s="14" t="inlineStr">
        <is>
          <t>TRPMS</t>
        </is>
      </c>
      <c r="D168" s="14" t="inlineStr">
        <is>
          <t>Transactions</t>
        </is>
      </c>
      <c r="E168" s="14" t="inlineStr">
        <is>
          <t>Hybrid</t>
        </is>
      </c>
      <c r="F168" s="16">
        <f>INDEX('Pricing rules'!$B$4:$B$6,MATCH(E168,'Pricing rules'!$A$4:$A$6,0))</f>
        <v/>
      </c>
      <c r="G168" s="16">
        <f>ROUND(F168*(1-'Pricing rules'!$B$10),0)</f>
        <v/>
      </c>
      <c r="H168" s="14" t="inlineStr">
        <is>
          <t>Free (overlength page charges may apply)</t>
        </is>
      </c>
      <c r="I168" s="14" t="inlineStr">
        <is>
          <t>Not published</t>
        </is>
      </c>
      <c r="J168" s="14" t="inlineStr"/>
      <c r="K168" s="14" t="inlineStr"/>
      <c r="L168" s="14" t="inlineStr"/>
      <c r="M168" s="14" t="inlineStr"/>
    </row>
    <row r="169">
      <c r="A169" s="14" t="inlineStr">
        <is>
          <t>Multidisciplinary, Education &amp; Society</t>
        </is>
      </c>
      <c r="B169" s="15" t="inlineStr">
        <is>
          <t>Proceedings of the IEEE</t>
        </is>
      </c>
      <c r="C169" s="14" t="inlineStr">
        <is>
          <t>PROC</t>
        </is>
      </c>
      <c r="D169" s="14" t="inlineStr">
        <is>
          <t>Journal</t>
        </is>
      </c>
      <c r="E169" s="14" t="inlineStr">
        <is>
          <t>Hybrid</t>
        </is>
      </c>
      <c r="F169" s="16">
        <f>INDEX('Pricing rules'!$B$4:$B$6,MATCH(E169,'Pricing rules'!$A$4:$A$6,0))</f>
        <v/>
      </c>
      <c r="G169" s="16">
        <f>ROUND(F169*(1-'Pricing rules'!$B$10),0)</f>
        <v/>
      </c>
      <c r="H169" s="14" t="inlineStr">
        <is>
          <t>Free (overlength page charges may apply)</t>
        </is>
      </c>
      <c r="I169" s="14" t="inlineStr">
        <is>
          <t>Not published</t>
        </is>
      </c>
      <c r="J169" s="14" t="inlineStr"/>
      <c r="K169" s="14" t="inlineStr"/>
      <c r="L169" s="14" t="inlineStr"/>
      <c r="M169" s="14" t="inlineStr">
        <is>
          <t>Mostly invited papers.</t>
        </is>
      </c>
    </row>
    <row r="170">
      <c r="A170" s="14" t="inlineStr">
        <is>
          <t>Multidisciplinary, Education &amp; Society</t>
        </is>
      </c>
      <c r="B170" s="15" t="inlineStr">
        <is>
          <t>IEEE Transactions on Education</t>
        </is>
      </c>
      <c r="C170" s="14" t="inlineStr">
        <is>
          <t>ToE</t>
        </is>
      </c>
      <c r="D170" s="14" t="inlineStr">
        <is>
          <t>Transactions</t>
        </is>
      </c>
      <c r="E170" s="14" t="inlineStr">
        <is>
          <t>Hybrid</t>
        </is>
      </c>
      <c r="F170" s="16">
        <f>INDEX('Pricing rules'!$B$4:$B$6,MATCH(E170,'Pricing rules'!$A$4:$A$6,0))</f>
        <v/>
      </c>
      <c r="G170" s="16">
        <f>ROUND(F170*(1-'Pricing rules'!$B$10),0)</f>
        <v/>
      </c>
      <c r="H170" s="14" t="inlineStr">
        <is>
          <t>Free (overlength page charges may apply)</t>
        </is>
      </c>
      <c r="I170" s="14" t="inlineStr">
        <is>
          <t>Not published</t>
        </is>
      </c>
      <c r="J170" s="14" t="inlineStr"/>
      <c r="K170" s="14" t="inlineStr"/>
      <c r="L170" s="14" t="inlineStr"/>
      <c r="M170" s="14" t="inlineStr"/>
    </row>
    <row r="171">
      <c r="A171" s="14" t="inlineStr">
        <is>
          <t>Multidisciplinary, Education &amp; Society</t>
        </is>
      </c>
      <c r="B171" s="15" t="inlineStr">
        <is>
          <t>IEEE Transactions on Professional Communication</t>
        </is>
      </c>
      <c r="C171" s="14" t="inlineStr">
        <is>
          <t>TPC</t>
        </is>
      </c>
      <c r="D171" s="14" t="inlineStr">
        <is>
          <t>Transactions</t>
        </is>
      </c>
      <c r="E171" s="14" t="inlineStr">
        <is>
          <t>Hybrid</t>
        </is>
      </c>
      <c r="F171" s="16">
        <f>INDEX('Pricing rules'!$B$4:$B$6,MATCH(E171,'Pricing rules'!$A$4:$A$6,0))</f>
        <v/>
      </c>
      <c r="G171" s="16">
        <f>ROUND(F171*(1-'Pricing rules'!$B$10),0)</f>
        <v/>
      </c>
      <c r="H171" s="14" t="inlineStr">
        <is>
          <t>Free (overlength page charges may apply)</t>
        </is>
      </c>
      <c r="I171" s="14" t="inlineStr">
        <is>
          <t>Not published</t>
        </is>
      </c>
      <c r="J171" s="14" t="inlineStr"/>
      <c r="K171" s="14" t="inlineStr"/>
      <c r="L171" s="14" t="inlineStr"/>
      <c r="M171" s="14" t="inlineStr"/>
    </row>
    <row r="172">
      <c r="A172" s="14" t="inlineStr">
        <is>
          <t>Multidisciplinary, Education &amp; Society</t>
        </is>
      </c>
      <c r="B172" s="15" t="inlineStr">
        <is>
          <t>IEEE Transactions on Technology and Society</t>
        </is>
      </c>
      <c r="C172" s="14" t="inlineStr">
        <is>
          <t>TTS</t>
        </is>
      </c>
      <c r="D172" s="14" t="inlineStr">
        <is>
          <t>Transactions</t>
        </is>
      </c>
      <c r="E172" s="14" t="inlineStr">
        <is>
          <t>Hybrid</t>
        </is>
      </c>
      <c r="F172" s="16">
        <f>INDEX('Pricing rules'!$B$4:$B$6,MATCH(E172,'Pricing rules'!$A$4:$A$6,0))</f>
        <v/>
      </c>
      <c r="G172" s="16">
        <f>ROUND(F172*(1-'Pricing rules'!$B$10),0)</f>
        <v/>
      </c>
      <c r="H172" s="14" t="inlineStr">
        <is>
          <t>Free (overlength page charges may apply)</t>
        </is>
      </c>
      <c r="I172" s="14" t="inlineStr">
        <is>
          <t>Not published</t>
        </is>
      </c>
      <c r="J172" s="14" t="inlineStr"/>
      <c r="K172" s="14" t="inlineStr"/>
      <c r="L172" s="14" t="inlineStr"/>
      <c r="M172" s="14" t="inlineStr"/>
    </row>
    <row r="173">
      <c r="A173" s="14" t="inlineStr">
        <is>
          <t>Multidisciplinary, Education &amp; Society</t>
        </is>
      </c>
      <c r="B173" s="15" t="inlineStr">
        <is>
          <t>IEEE Transactions on Engineering Management</t>
        </is>
      </c>
      <c r="C173" s="14" t="inlineStr">
        <is>
          <t>TEM</t>
        </is>
      </c>
      <c r="D173" s="14" t="inlineStr">
        <is>
          <t>Transactions</t>
        </is>
      </c>
      <c r="E173" s="14" t="inlineStr">
        <is>
          <t>Hybrid</t>
        </is>
      </c>
      <c r="F173" s="16">
        <f>INDEX('Pricing rules'!$B$4:$B$6,MATCH(E173,'Pricing rules'!$A$4:$A$6,0))</f>
        <v/>
      </c>
      <c r="G173" s="16">
        <f>ROUND(F173*(1-'Pricing rules'!$B$10),0)</f>
        <v/>
      </c>
      <c r="H173" s="14" t="inlineStr">
        <is>
          <t>Free (overlength page charges may apply)</t>
        </is>
      </c>
      <c r="I173" s="14" t="inlineStr">
        <is>
          <t>Not published</t>
        </is>
      </c>
      <c r="J173" s="14" t="inlineStr"/>
      <c r="K173" s="14" t="inlineStr"/>
      <c r="L173" s="14" t="inlineStr"/>
      <c r="M173" s="14" t="inlineStr"/>
    </row>
    <row r="174">
      <c r="A174" s="14" t="inlineStr">
        <is>
          <t>Multidisciplinary, Education &amp; Society</t>
        </is>
      </c>
      <c r="B174" s="15" t="inlineStr">
        <is>
          <t>IEEE Transactions on Consumer Electronics</t>
        </is>
      </c>
      <c r="C174" s="14" t="inlineStr">
        <is>
          <t>TCE</t>
        </is>
      </c>
      <c r="D174" s="14" t="inlineStr">
        <is>
          <t>Transactions</t>
        </is>
      </c>
      <c r="E174" s="14" t="inlineStr">
        <is>
          <t>Hybrid</t>
        </is>
      </c>
      <c r="F174" s="16">
        <f>INDEX('Pricing rules'!$B$4:$B$6,MATCH(E174,'Pricing rules'!$A$4:$A$6,0))</f>
        <v/>
      </c>
      <c r="G174" s="16">
        <f>ROUND(F174*(1-'Pricing rules'!$B$10),0)</f>
        <v/>
      </c>
      <c r="H174" s="14" t="inlineStr">
        <is>
          <t>Free (overlength page charges may apply)</t>
        </is>
      </c>
      <c r="I174" s="14" t="inlineStr">
        <is>
          <t>Not published</t>
        </is>
      </c>
      <c r="J174" s="14" t="inlineStr"/>
      <c r="K174" s="14" t="inlineStr"/>
      <c r="L174" s="14" t="inlineStr"/>
      <c r="M174" s="14" t="inlineStr"/>
    </row>
    <row r="175">
      <c r="A175" s="14" t="inlineStr">
        <is>
          <t>Multidisciplinary, Education &amp; Society</t>
        </is>
      </c>
      <c r="B175" s="15" t="inlineStr">
        <is>
          <t>IEEE Canadian Journal of Electrical and Computer Engineering</t>
        </is>
      </c>
      <c r="C175" s="14" t="inlineStr">
        <is>
          <t>CJECE</t>
        </is>
      </c>
      <c r="D175" s="14" t="inlineStr">
        <is>
          <t>Journal</t>
        </is>
      </c>
      <c r="E175" s="14" t="inlineStr">
        <is>
          <t>Hybrid</t>
        </is>
      </c>
      <c r="F175" s="16">
        <f>INDEX('Pricing rules'!$B$4:$B$6,MATCH(E175,'Pricing rules'!$A$4:$A$6,0))</f>
        <v/>
      </c>
      <c r="G175" s="16">
        <f>ROUND(F175*(1-'Pricing rules'!$B$10),0)</f>
        <v/>
      </c>
      <c r="H175" s="14" t="inlineStr">
        <is>
          <t>Free (overlength page charges may apply)</t>
        </is>
      </c>
      <c r="I175" s="14" t="inlineStr">
        <is>
          <t>Not published</t>
        </is>
      </c>
      <c r="J175" s="14" t="inlineStr"/>
      <c r="K175" s="14" t="inlineStr"/>
      <c r="L175" s="14" t="inlineStr"/>
      <c r="M175" s="14" t="inlineStr"/>
    </row>
  </sheetData>
  <hyperlinks>
    <hyperlink xmlns:r="http://schemas.openxmlformats.org/officeDocument/2006/relationships" ref="K2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3" r:id="rId5"/>
    <hyperlink xmlns:r="http://schemas.openxmlformats.org/officeDocument/2006/relationships" ref="K18" r:id="rId6"/>
    <hyperlink xmlns:r="http://schemas.openxmlformats.org/officeDocument/2006/relationships" ref="K26" r:id="rId7"/>
    <hyperlink xmlns:r="http://schemas.openxmlformats.org/officeDocument/2006/relationships" ref="K27" r:id="rId8"/>
    <hyperlink xmlns:r="http://schemas.openxmlformats.org/officeDocument/2006/relationships" ref="K28" r:id="rId9"/>
    <hyperlink xmlns:r="http://schemas.openxmlformats.org/officeDocument/2006/relationships" ref="K29" r:id="rId10"/>
    <hyperlink xmlns:r="http://schemas.openxmlformats.org/officeDocument/2006/relationships" ref="K37" r:id="rId11"/>
    <hyperlink xmlns:r="http://schemas.openxmlformats.org/officeDocument/2006/relationships" ref="K40" r:id="rId12"/>
    <hyperlink xmlns:r="http://schemas.openxmlformats.org/officeDocument/2006/relationships" ref="K67" r:id="rId13"/>
    <hyperlink xmlns:r="http://schemas.openxmlformats.org/officeDocument/2006/relationships" ref="K68" r:id="rId14"/>
    <hyperlink xmlns:r="http://schemas.openxmlformats.org/officeDocument/2006/relationships" ref="K150" r:id="rId15"/>
  </hyperlinks>
  <pageMargins left="0.75" right="0.75" top="1" bottom="1" header="0.5" footer="0.5"/>
  <tableParts count="1">
    <tablePart xmlns:r="http://schemas.openxmlformats.org/officeDocument/2006/relationships" r:id="rId16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13" customWidth="1" min="4" max="4"/>
    <col width="17" customWidth="1" min="5" max="5"/>
    <col width="13" customWidth="1" min="6" max="6"/>
    <col width="15" customWidth="1" min="7" max="7"/>
    <col width="24" customWidth="1" min="8" max="8"/>
    <col width="30" customWidth="1" min="9" max="9"/>
    <col width="26" customWidth="1" min="10" max="10"/>
    <col width="34" customWidth="1" min="11" max="11"/>
    <col width="9" customWidth="1" min="12" max="12"/>
    <col width="48" customWidth="1" min="13" max="13"/>
  </cols>
  <sheetData>
    <row r="1" ht="32" customHeight="1">
      <c r="A1" s="6" t="inlineStr">
        <is>
          <t>Track</t>
        </is>
      </c>
      <c r="B1" s="6" t="inlineStr">
        <is>
          <t>Journal</t>
        </is>
      </c>
      <c r="C1" s="6" t="inlineStr">
        <is>
          <t>Acronym</t>
        </is>
      </c>
      <c r="D1" s="6" t="inlineStr">
        <is>
          <t>Type</t>
        </is>
      </c>
      <c r="E1" s="6" t="inlineStr">
        <is>
          <t>OA model</t>
        </is>
      </c>
      <c r="F1" s="6" t="inlineStr">
        <is>
          <t>APC 2026 (US$)</t>
        </is>
      </c>
      <c r="G1" s="6" t="inlineStr">
        <is>
          <t>APC for society member (US$)</t>
        </is>
      </c>
      <c r="H1" s="6" t="inlineStr">
        <is>
          <t>Cost without OA</t>
        </is>
      </c>
      <c r="I1" s="6" t="inlineStr">
        <is>
          <t>Avg. time to first decision</t>
        </is>
      </c>
      <c r="J1" s="6" t="inlineStr">
        <is>
          <t>Decision-time source</t>
        </is>
      </c>
      <c r="K1" s="6" t="inlineStr">
        <is>
          <t>Source link</t>
        </is>
      </c>
      <c r="L1" s="6" t="inlineStr">
        <is>
          <t>Society</t>
        </is>
      </c>
      <c r="M1" s="6" t="inlineStr">
        <is>
          <t>Notes</t>
        </is>
      </c>
    </row>
    <row r="2">
      <c r="A2" s="14" t="inlineStr">
        <is>
          <t>Aerospace, Radar &amp; Navigation</t>
        </is>
      </c>
      <c r="B2" s="15" t="inlineStr">
        <is>
          <t>IEEE Aerospace and Electronic Systems Magazine</t>
        </is>
      </c>
      <c r="C2" s="14" t="inlineStr">
        <is>
          <t>AESM</t>
        </is>
      </c>
      <c r="D2" s="14" t="inlineStr">
        <is>
          <t>Magazine</t>
        </is>
      </c>
      <c r="E2" s="14" t="inlineStr">
        <is>
          <t>Hybrid magazine</t>
        </is>
      </c>
      <c r="F2" s="16">
        <f>INDEX('Pricing rules'!$B$4:$B$6,MATCH(E2,'Pricing rules'!$A$4:$A$6,0))</f>
        <v/>
      </c>
      <c r="G2" s="16">
        <f>ROUND(F2*(1-'Pricing rules'!$B$10),0)</f>
        <v/>
      </c>
      <c r="H2" s="14" t="inlineStr">
        <is>
          <t>Free (most articles are invited)</t>
        </is>
      </c>
      <c r="I2" s="14" t="inlineStr">
        <is>
          <t>Not published</t>
        </is>
      </c>
      <c r="J2" s="14" t="inlineStr"/>
      <c r="K2" s="14" t="inlineStr"/>
      <c r="L2" s="14" t="inlineStr">
        <is>
          <t>AESS</t>
        </is>
      </c>
      <c r="M2" s="14" t="inlineStr"/>
    </row>
    <row r="3">
      <c r="A3" s="14" t="inlineStr">
        <is>
          <t>Communications &amp; Networking</t>
        </is>
      </c>
      <c r="B3" s="15" t="inlineStr">
        <is>
          <t>IEEE Communications Magazine</t>
        </is>
      </c>
      <c r="C3" s="14" t="inlineStr">
        <is>
          <t>COMMAG</t>
        </is>
      </c>
      <c r="D3" s="14" t="inlineStr">
        <is>
          <t>Magazine</t>
        </is>
      </c>
      <c r="E3" s="14" t="inlineStr">
        <is>
          <t>Hybrid magazine</t>
        </is>
      </c>
      <c r="F3" s="16">
        <f>INDEX('Pricing rules'!$B$4:$B$6,MATCH(E3,'Pricing rules'!$A$4:$A$6,0))</f>
        <v/>
      </c>
      <c r="G3" s="16">
        <f>ROUND(F3*(1-'Pricing rules'!$B$10),0)</f>
        <v/>
      </c>
      <c r="H3" s="14" t="inlineStr">
        <is>
          <t>Free (most articles are invited)</t>
        </is>
      </c>
      <c r="I3" s="14" t="inlineStr">
        <is>
          <t>Not published</t>
        </is>
      </c>
      <c r="J3" s="14" t="inlineStr"/>
      <c r="K3" s="14" t="inlineStr"/>
      <c r="L3" s="14" t="inlineStr"/>
      <c r="M3" s="14" t="inlineStr"/>
    </row>
    <row r="4">
      <c r="A4" s="14" t="inlineStr">
        <is>
          <t>Communications &amp; Networking</t>
        </is>
      </c>
      <c r="B4" s="15" t="inlineStr">
        <is>
          <t>IEEE Network</t>
        </is>
      </c>
      <c r="C4" s="14" t="inlineStr">
        <is>
          <t>NET</t>
        </is>
      </c>
      <c r="D4" s="14" t="inlineStr">
        <is>
          <t>Magazine</t>
        </is>
      </c>
      <c r="E4" s="14" t="inlineStr">
        <is>
          <t>Hybrid magazine</t>
        </is>
      </c>
      <c r="F4" s="16">
        <f>INDEX('Pricing rules'!$B$4:$B$6,MATCH(E4,'Pricing rules'!$A$4:$A$6,0))</f>
        <v/>
      </c>
      <c r="G4" s="16">
        <f>ROUND(F4*(1-'Pricing rules'!$B$10),0)</f>
        <v/>
      </c>
      <c r="H4" s="14" t="inlineStr">
        <is>
          <t>Free (most articles are invited)</t>
        </is>
      </c>
      <c r="I4" s="14" t="inlineStr">
        <is>
          <t>Not published</t>
        </is>
      </c>
      <c r="J4" s="14" t="inlineStr"/>
      <c r="K4" s="14" t="inlineStr"/>
      <c r="L4" s="14" t="inlineStr"/>
      <c r="M4" s="14" t="inlineStr"/>
    </row>
    <row r="5">
      <c r="A5" s="14" t="inlineStr">
        <is>
          <t>Communications &amp; Networking</t>
        </is>
      </c>
      <c r="B5" s="15" t="inlineStr">
        <is>
          <t>IEEE Wireless Communications</t>
        </is>
      </c>
      <c r="C5" s="14" t="inlineStr">
        <is>
          <t>WC</t>
        </is>
      </c>
      <c r="D5" s="14" t="inlineStr">
        <is>
          <t>Magazine</t>
        </is>
      </c>
      <c r="E5" s="14" t="inlineStr">
        <is>
          <t>Hybrid magazine</t>
        </is>
      </c>
      <c r="F5" s="16">
        <f>INDEX('Pricing rules'!$B$4:$B$6,MATCH(E5,'Pricing rules'!$A$4:$A$6,0))</f>
        <v/>
      </c>
      <c r="G5" s="16">
        <f>ROUND(F5*(1-'Pricing rules'!$B$10),0)</f>
        <v/>
      </c>
      <c r="H5" s="14" t="inlineStr">
        <is>
          <t>Free (most articles are invited)</t>
        </is>
      </c>
      <c r="I5" s="14" t="inlineStr">
        <is>
          <t>Not published</t>
        </is>
      </c>
      <c r="J5" s="14" t="inlineStr"/>
      <c r="K5" s="14" t="inlineStr"/>
      <c r="L5" s="14" t="inlineStr"/>
      <c r="M5" s="14" t="inlineStr"/>
    </row>
    <row r="6">
      <c r="A6" s="14" t="inlineStr">
        <is>
          <t>Communications &amp; Networking</t>
        </is>
      </c>
      <c r="B6" s="15" t="inlineStr">
        <is>
          <t>IEEE Internet of Things Magazine</t>
        </is>
      </c>
      <c r="C6" s="14" t="inlineStr">
        <is>
          <t>IoTM</t>
        </is>
      </c>
      <c r="D6" s="14" t="inlineStr">
        <is>
          <t>Magazine</t>
        </is>
      </c>
      <c r="E6" s="14" t="inlineStr">
        <is>
          <t>Hybrid magazine</t>
        </is>
      </c>
      <c r="F6" s="16">
        <f>INDEX('Pricing rules'!$B$4:$B$6,MATCH(E6,'Pricing rules'!$A$4:$A$6,0))</f>
        <v/>
      </c>
      <c r="G6" s="16">
        <f>ROUND(F6*(1-'Pricing rules'!$B$10),0)</f>
        <v/>
      </c>
      <c r="H6" s="14" t="inlineStr">
        <is>
          <t>Free (most articles are invited)</t>
        </is>
      </c>
      <c r="I6" s="14" t="inlineStr">
        <is>
          <t>Not published</t>
        </is>
      </c>
      <c r="J6" s="14" t="inlineStr"/>
      <c r="K6" s="14" t="inlineStr"/>
      <c r="L6" s="14" t="inlineStr"/>
      <c r="M6" s="14" t="inlineStr"/>
    </row>
    <row r="7">
      <c r="A7" s="14" t="inlineStr">
        <is>
          <t>Communications &amp; Networking</t>
        </is>
      </c>
      <c r="B7" s="15" t="inlineStr">
        <is>
          <t>IEEE Communications Standards Magazine</t>
        </is>
      </c>
      <c r="C7" s="14" t="inlineStr">
        <is>
          <t>COMSTD</t>
        </is>
      </c>
      <c r="D7" s="14" t="inlineStr">
        <is>
          <t>Magazine</t>
        </is>
      </c>
      <c r="E7" s="14" t="inlineStr">
        <is>
          <t>Hybrid magazine</t>
        </is>
      </c>
      <c r="F7" s="16">
        <f>INDEX('Pricing rules'!$B$4:$B$6,MATCH(E7,'Pricing rules'!$A$4:$A$6,0))</f>
        <v/>
      </c>
      <c r="G7" s="16">
        <f>ROUND(F7*(1-'Pricing rules'!$B$10),0)</f>
        <v/>
      </c>
      <c r="H7" s="14" t="inlineStr">
        <is>
          <t>Free (most articles are invited)</t>
        </is>
      </c>
      <c r="I7" s="14" t="inlineStr">
        <is>
          <t>Not published</t>
        </is>
      </c>
      <c r="J7" s="14" t="inlineStr"/>
      <c r="K7" s="14" t="inlineStr"/>
      <c r="L7" s="14" t="inlineStr"/>
      <c r="M7" s="14" t="inlineStr"/>
    </row>
    <row r="8">
      <c r="A8" s="14" t="inlineStr">
        <is>
          <t>Communications &amp; Networking</t>
        </is>
      </c>
      <c r="B8" s="15" t="inlineStr">
        <is>
          <t>IEEE BITS the Information Theory Magazine</t>
        </is>
      </c>
      <c r="C8" s="14" t="inlineStr">
        <is>
          <t>BITS</t>
        </is>
      </c>
      <c r="D8" s="14" t="inlineStr">
        <is>
          <t>Magazine</t>
        </is>
      </c>
      <c r="E8" s="14" t="inlineStr">
        <is>
          <t>Hybrid magazine</t>
        </is>
      </c>
      <c r="F8" s="16">
        <f>INDEX('Pricing rules'!$B$4:$B$6,MATCH(E8,'Pricing rules'!$A$4:$A$6,0))</f>
        <v/>
      </c>
      <c r="G8" s="16">
        <f>ROUND(F8*(1-'Pricing rules'!$B$10),0)</f>
        <v/>
      </c>
      <c r="H8" s="14" t="inlineStr">
        <is>
          <t>Free (most articles are invited)</t>
        </is>
      </c>
      <c r="I8" s="14" t="inlineStr">
        <is>
          <t>Not published</t>
        </is>
      </c>
      <c r="J8" s="14" t="inlineStr"/>
      <c r="K8" s="14" t="inlineStr"/>
      <c r="L8" s="14" t="inlineStr"/>
      <c r="M8" s="14" t="inlineStr"/>
    </row>
    <row r="9">
      <c r="A9" s="14" t="inlineStr">
        <is>
          <t>Vehicles &amp; Transportation</t>
        </is>
      </c>
      <c r="B9" s="15" t="inlineStr">
        <is>
          <t>IEEE Vehicular Technology Magazine</t>
        </is>
      </c>
      <c r="C9" s="14" t="inlineStr">
        <is>
          <t>VTM</t>
        </is>
      </c>
      <c r="D9" s="14" t="inlineStr">
        <is>
          <t>Magazine</t>
        </is>
      </c>
      <c r="E9" s="14" t="inlineStr">
        <is>
          <t>Hybrid magazine</t>
        </is>
      </c>
      <c r="F9" s="16">
        <f>INDEX('Pricing rules'!$B$4:$B$6,MATCH(E9,'Pricing rules'!$A$4:$A$6,0))</f>
        <v/>
      </c>
      <c r="G9" s="16">
        <f>ROUND(F9*(1-'Pricing rules'!$B$10),0)</f>
        <v/>
      </c>
      <c r="H9" s="14" t="inlineStr">
        <is>
          <t>Free (most articles are invited)</t>
        </is>
      </c>
      <c r="I9" s="14" t="inlineStr">
        <is>
          <t>Not published</t>
        </is>
      </c>
      <c r="J9" s="14" t="inlineStr"/>
      <c r="K9" s="14" t="inlineStr"/>
      <c r="L9" s="14" t="inlineStr"/>
      <c r="M9" s="14" t="inlineStr"/>
    </row>
    <row r="10">
      <c r="A10" s="14" t="inlineStr">
        <is>
          <t>Vehicles &amp; Transportation</t>
        </is>
      </c>
      <c r="B10" s="15" t="inlineStr">
        <is>
          <t>IEEE Intelligent Transportation Systems Magazine</t>
        </is>
      </c>
      <c r="C10" s="14" t="inlineStr">
        <is>
          <t>ITSM</t>
        </is>
      </c>
      <c r="D10" s="14" t="inlineStr">
        <is>
          <t>Magazine</t>
        </is>
      </c>
      <c r="E10" s="14" t="inlineStr">
        <is>
          <t>Hybrid magazine</t>
        </is>
      </c>
      <c r="F10" s="16">
        <f>INDEX('Pricing rules'!$B$4:$B$6,MATCH(E10,'Pricing rules'!$A$4:$A$6,0))</f>
        <v/>
      </c>
      <c r="G10" s="16">
        <f>ROUND(F10*(1-'Pricing rules'!$B$10),0)</f>
        <v/>
      </c>
      <c r="H10" s="14" t="inlineStr">
        <is>
          <t>Free (most articles are invited)</t>
        </is>
      </c>
      <c r="I10" s="14" t="inlineStr">
        <is>
          <t>Not published</t>
        </is>
      </c>
      <c r="J10" s="14" t="inlineStr"/>
      <c r="K10" s="14" t="inlineStr"/>
      <c r="L10" s="14" t="inlineStr"/>
      <c r="M10" s="14" t="inlineStr"/>
    </row>
    <row r="11">
      <c r="A11" s="14" t="inlineStr">
        <is>
          <t>Signal, Image &amp; Speech Processing</t>
        </is>
      </c>
      <c r="B11" s="15" t="inlineStr">
        <is>
          <t>IEEE Signal Processing Magazine</t>
        </is>
      </c>
      <c r="C11" s="14" t="inlineStr">
        <is>
          <t>SPM</t>
        </is>
      </c>
      <c r="D11" s="14" t="inlineStr">
        <is>
          <t>Magazine</t>
        </is>
      </c>
      <c r="E11" s="14" t="inlineStr">
        <is>
          <t>Hybrid magazine</t>
        </is>
      </c>
      <c r="F11" s="16">
        <f>INDEX('Pricing rules'!$B$4:$B$6,MATCH(E11,'Pricing rules'!$A$4:$A$6,0))</f>
        <v/>
      </c>
      <c r="G11" s="16">
        <f>ROUND(F11*(1-'Pricing rules'!$B$10),0)</f>
        <v/>
      </c>
      <c r="H11" s="14" t="inlineStr">
        <is>
          <t>Free (most articles are invited)</t>
        </is>
      </c>
      <c r="I11" s="14" t="inlineStr">
        <is>
          <t>Not published</t>
        </is>
      </c>
      <c r="J11" s="14" t="inlineStr"/>
      <c r="K11" s="14" t="inlineStr"/>
      <c r="L11" s="14" t="inlineStr"/>
      <c r="M11" s="14" t="inlineStr"/>
    </row>
    <row r="12">
      <c r="A12" s="14" t="inlineStr">
        <is>
          <t>AI, Computing &amp; Software</t>
        </is>
      </c>
      <c r="B12" s="15" t="inlineStr">
        <is>
          <t>IEEE Computational Intelligence Magazine</t>
        </is>
      </c>
      <c r="C12" s="14" t="inlineStr">
        <is>
          <t>CIM</t>
        </is>
      </c>
      <c r="D12" s="14" t="inlineStr">
        <is>
          <t>Magazine</t>
        </is>
      </c>
      <c r="E12" s="14" t="inlineStr">
        <is>
          <t>Hybrid magazine</t>
        </is>
      </c>
      <c r="F12" s="16">
        <f>INDEX('Pricing rules'!$B$4:$B$6,MATCH(E12,'Pricing rules'!$A$4:$A$6,0))</f>
        <v/>
      </c>
      <c r="G12" s="16">
        <f>ROUND(F12*(1-'Pricing rules'!$B$10),0)</f>
        <v/>
      </c>
      <c r="H12" s="14" t="inlineStr">
        <is>
          <t>Free (most articles are invited)</t>
        </is>
      </c>
      <c r="I12" s="14" t="inlineStr">
        <is>
          <t>Not published</t>
        </is>
      </c>
      <c r="J12" s="14" t="inlineStr"/>
      <c r="K12" s="14" t="inlineStr"/>
      <c r="L12" s="14" t="inlineStr"/>
      <c r="M12" s="14" t="inlineStr"/>
    </row>
    <row r="13">
      <c r="A13" s="14" t="inlineStr">
        <is>
          <t>AI, Computing &amp; Software</t>
        </is>
      </c>
      <c r="B13" s="15" t="inlineStr">
        <is>
          <t>Computer</t>
        </is>
      </c>
      <c r="C13" s="14" t="inlineStr">
        <is>
          <t>COMPUTER</t>
        </is>
      </c>
      <c r="D13" s="14" t="inlineStr">
        <is>
          <t>Magazine</t>
        </is>
      </c>
      <c r="E13" s="14" t="inlineStr">
        <is>
          <t>Hybrid magazine</t>
        </is>
      </c>
      <c r="F13" s="16">
        <f>INDEX('Pricing rules'!$B$4:$B$6,MATCH(E13,'Pricing rules'!$A$4:$A$6,0))</f>
        <v/>
      </c>
      <c r="G13" s="16">
        <f>ROUND(F13*(1-'Pricing rules'!$B$10),0)</f>
        <v/>
      </c>
      <c r="H13" s="14" t="inlineStr">
        <is>
          <t>Free (most articles are invited)</t>
        </is>
      </c>
      <c r="I13" s="14" t="inlineStr">
        <is>
          <t>Not published</t>
        </is>
      </c>
      <c r="J13" s="14" t="inlineStr"/>
      <c r="K13" s="14" t="inlineStr"/>
      <c r="L13" s="14" t="inlineStr"/>
      <c r="M13" s="14" t="inlineStr"/>
    </row>
    <row r="14">
      <c r="A14" s="14" t="inlineStr">
        <is>
          <t>AI, Computing &amp; Software</t>
        </is>
      </c>
      <c r="B14" s="15" t="inlineStr">
        <is>
          <t>IEEE Software</t>
        </is>
      </c>
      <c r="C14" s="14" t="inlineStr">
        <is>
          <t>SOFTWARE</t>
        </is>
      </c>
      <c r="D14" s="14" t="inlineStr">
        <is>
          <t>Magazine</t>
        </is>
      </c>
      <c r="E14" s="14" t="inlineStr">
        <is>
          <t>Hybrid magazine</t>
        </is>
      </c>
      <c r="F14" s="16">
        <f>INDEX('Pricing rules'!$B$4:$B$6,MATCH(E14,'Pricing rules'!$A$4:$A$6,0))</f>
        <v/>
      </c>
      <c r="G14" s="16">
        <f>ROUND(F14*(1-'Pricing rules'!$B$10),0)</f>
        <v/>
      </c>
      <c r="H14" s="14" t="inlineStr">
        <is>
          <t>Free (most articles are invited)</t>
        </is>
      </c>
      <c r="I14" s="14" t="inlineStr">
        <is>
          <t>Not published</t>
        </is>
      </c>
      <c r="J14" s="14" t="inlineStr"/>
      <c r="K14" s="14" t="inlineStr"/>
      <c r="L14" s="14" t="inlineStr"/>
      <c r="M14" s="14" t="inlineStr"/>
    </row>
    <row r="15">
      <c r="A15" s="14" t="inlineStr">
        <is>
          <t>AI, Computing &amp; Software</t>
        </is>
      </c>
      <c r="B15" s="15" t="inlineStr">
        <is>
          <t>IEEE Micro</t>
        </is>
      </c>
      <c r="C15" s="14" t="inlineStr">
        <is>
          <t>MICRO</t>
        </is>
      </c>
      <c r="D15" s="14" t="inlineStr">
        <is>
          <t>Magazine</t>
        </is>
      </c>
      <c r="E15" s="14" t="inlineStr">
        <is>
          <t>Hybrid magazine</t>
        </is>
      </c>
      <c r="F15" s="16">
        <f>INDEX('Pricing rules'!$B$4:$B$6,MATCH(E15,'Pricing rules'!$A$4:$A$6,0))</f>
        <v/>
      </c>
      <c r="G15" s="16">
        <f>ROUND(F15*(1-'Pricing rules'!$B$10),0)</f>
        <v/>
      </c>
      <c r="H15" s="14" t="inlineStr">
        <is>
          <t>Free (most articles are invited)</t>
        </is>
      </c>
      <c r="I15" s="14" t="inlineStr">
        <is>
          <t>Not published</t>
        </is>
      </c>
      <c r="J15" s="14" t="inlineStr"/>
      <c r="K15" s="14" t="inlineStr"/>
      <c r="L15" s="14" t="inlineStr"/>
      <c r="M15" s="14" t="inlineStr"/>
    </row>
    <row r="16">
      <c r="A16" s="14" t="inlineStr">
        <is>
          <t>AI, Computing &amp; Software</t>
        </is>
      </c>
      <c r="B16" s="15" t="inlineStr">
        <is>
          <t>IEEE Security &amp; Privacy</t>
        </is>
      </c>
      <c r="C16" s="14" t="inlineStr">
        <is>
          <t>S&amp;P</t>
        </is>
      </c>
      <c r="D16" s="14" t="inlineStr">
        <is>
          <t>Magazine</t>
        </is>
      </c>
      <c r="E16" s="14" t="inlineStr">
        <is>
          <t>Hybrid magazine</t>
        </is>
      </c>
      <c r="F16" s="16">
        <f>INDEX('Pricing rules'!$B$4:$B$6,MATCH(E16,'Pricing rules'!$A$4:$A$6,0))</f>
        <v/>
      </c>
      <c r="G16" s="16">
        <f>ROUND(F16*(1-'Pricing rules'!$B$10),0)</f>
        <v/>
      </c>
      <c r="H16" s="14" t="inlineStr">
        <is>
          <t>Free (most articles are invited)</t>
        </is>
      </c>
      <c r="I16" s="14" t="inlineStr">
        <is>
          <t>Not published</t>
        </is>
      </c>
      <c r="J16" s="14" t="inlineStr"/>
      <c r="K16" s="14" t="inlineStr"/>
      <c r="L16" s="14" t="inlineStr"/>
      <c r="M16" s="14" t="inlineStr"/>
    </row>
    <row r="17">
      <c r="A17" s="14" t="inlineStr">
        <is>
          <t>AI, Computing &amp; Software</t>
        </is>
      </c>
      <c r="B17" s="15" t="inlineStr">
        <is>
          <t>IEEE Internet Computing</t>
        </is>
      </c>
      <c r="C17" s="14" t="inlineStr">
        <is>
          <t>IC</t>
        </is>
      </c>
      <c r="D17" s="14" t="inlineStr">
        <is>
          <t>Magazine</t>
        </is>
      </c>
      <c r="E17" s="14" t="inlineStr">
        <is>
          <t>Hybrid magazine</t>
        </is>
      </c>
      <c r="F17" s="16">
        <f>INDEX('Pricing rules'!$B$4:$B$6,MATCH(E17,'Pricing rules'!$A$4:$A$6,0))</f>
        <v/>
      </c>
      <c r="G17" s="16">
        <f>ROUND(F17*(1-'Pricing rules'!$B$10),0)</f>
        <v/>
      </c>
      <c r="H17" s="14" t="inlineStr">
        <is>
          <t>Free (most articles are invited)</t>
        </is>
      </c>
      <c r="I17" s="14" t="inlineStr">
        <is>
          <t>Not published</t>
        </is>
      </c>
      <c r="J17" s="14" t="inlineStr"/>
      <c r="K17" s="14" t="inlineStr"/>
      <c r="L17" s="14" t="inlineStr"/>
      <c r="M17" s="14" t="inlineStr"/>
    </row>
    <row r="18">
      <c r="A18" s="14" t="inlineStr">
        <is>
          <t>AI, Computing &amp; Software</t>
        </is>
      </c>
      <c r="B18" s="15" t="inlineStr">
        <is>
          <t>IEEE Intelligent Systems</t>
        </is>
      </c>
      <c r="C18" s="14" t="inlineStr">
        <is>
          <t>IS</t>
        </is>
      </c>
      <c r="D18" s="14" t="inlineStr">
        <is>
          <t>Magazine</t>
        </is>
      </c>
      <c r="E18" s="14" t="inlineStr">
        <is>
          <t>Hybrid magazine</t>
        </is>
      </c>
      <c r="F18" s="16">
        <f>INDEX('Pricing rules'!$B$4:$B$6,MATCH(E18,'Pricing rules'!$A$4:$A$6,0))</f>
        <v/>
      </c>
      <c r="G18" s="16">
        <f>ROUND(F18*(1-'Pricing rules'!$B$10),0)</f>
        <v/>
      </c>
      <c r="H18" s="14" t="inlineStr">
        <is>
          <t>Free (most articles are invited)</t>
        </is>
      </c>
      <c r="I18" s="14" t="inlineStr">
        <is>
          <t>Not published</t>
        </is>
      </c>
      <c r="J18" s="14" t="inlineStr"/>
      <c r="K18" s="14" t="inlineStr"/>
      <c r="L18" s="14" t="inlineStr"/>
      <c r="M18" s="14" t="inlineStr"/>
    </row>
    <row r="19">
      <c r="A19" s="14" t="inlineStr">
        <is>
          <t>AI, Computing &amp; Software</t>
        </is>
      </c>
      <c r="B19" s="15" t="inlineStr">
        <is>
          <t>IEEE Pervasive Computing</t>
        </is>
      </c>
      <c r="C19" s="14" t="inlineStr">
        <is>
          <t>PVC</t>
        </is>
      </c>
      <c r="D19" s="14" t="inlineStr">
        <is>
          <t>Magazine</t>
        </is>
      </c>
      <c r="E19" s="14" t="inlineStr">
        <is>
          <t>Hybrid magazine</t>
        </is>
      </c>
      <c r="F19" s="16">
        <f>INDEX('Pricing rules'!$B$4:$B$6,MATCH(E19,'Pricing rules'!$A$4:$A$6,0))</f>
        <v/>
      </c>
      <c r="G19" s="16">
        <f>ROUND(F19*(1-'Pricing rules'!$B$10),0)</f>
        <v/>
      </c>
      <c r="H19" s="14" t="inlineStr">
        <is>
          <t>Free (most articles are invited)</t>
        </is>
      </c>
      <c r="I19" s="14" t="inlineStr">
        <is>
          <t>Not published</t>
        </is>
      </c>
      <c r="J19" s="14" t="inlineStr"/>
      <c r="K19" s="14" t="inlineStr"/>
      <c r="L19" s="14" t="inlineStr"/>
      <c r="M19" s="14" t="inlineStr"/>
    </row>
    <row r="20">
      <c r="A20" s="14" t="inlineStr">
        <is>
          <t>AI, Computing &amp; Software</t>
        </is>
      </c>
      <c r="B20" s="15" t="inlineStr">
        <is>
          <t>IT Professional</t>
        </is>
      </c>
      <c r="C20" s="14" t="inlineStr">
        <is>
          <t>ITPRO</t>
        </is>
      </c>
      <c r="D20" s="14" t="inlineStr">
        <is>
          <t>Magazine</t>
        </is>
      </c>
      <c r="E20" s="14" t="inlineStr">
        <is>
          <t>Hybrid magazine</t>
        </is>
      </c>
      <c r="F20" s="16">
        <f>INDEX('Pricing rules'!$B$4:$B$6,MATCH(E20,'Pricing rules'!$A$4:$A$6,0))</f>
        <v/>
      </c>
      <c r="G20" s="16">
        <f>ROUND(F20*(1-'Pricing rules'!$B$10),0)</f>
        <v/>
      </c>
      <c r="H20" s="14" t="inlineStr">
        <is>
          <t>Free (most articles are invited)</t>
        </is>
      </c>
      <c r="I20" s="14" t="inlineStr">
        <is>
          <t>Not published</t>
        </is>
      </c>
      <c r="J20" s="14" t="inlineStr"/>
      <c r="K20" s="14" t="inlineStr"/>
      <c r="L20" s="14" t="inlineStr"/>
      <c r="M20" s="14" t="inlineStr"/>
    </row>
    <row r="21">
      <c r="A21" s="14" t="inlineStr">
        <is>
          <t>AI, Computing &amp; Software</t>
        </is>
      </c>
      <c r="B21" s="15" t="inlineStr">
        <is>
          <t>Computing in Science &amp; Engineering</t>
        </is>
      </c>
      <c r="C21" s="14" t="inlineStr">
        <is>
          <t>CiSE</t>
        </is>
      </c>
      <c r="D21" s="14" t="inlineStr">
        <is>
          <t>Magazine</t>
        </is>
      </c>
      <c r="E21" s="14" t="inlineStr">
        <is>
          <t>Hybrid magazine</t>
        </is>
      </c>
      <c r="F21" s="16">
        <f>INDEX('Pricing rules'!$B$4:$B$6,MATCH(E21,'Pricing rules'!$A$4:$A$6,0))</f>
        <v/>
      </c>
      <c r="G21" s="16">
        <f>ROUND(F21*(1-'Pricing rules'!$B$10),0)</f>
        <v/>
      </c>
      <c r="H21" s="14" t="inlineStr">
        <is>
          <t>Free (most articles are invited)</t>
        </is>
      </c>
      <c r="I21" s="14" t="inlineStr">
        <is>
          <t>Not published</t>
        </is>
      </c>
      <c r="J21" s="14" t="inlineStr"/>
      <c r="K21" s="14" t="inlineStr"/>
      <c r="L21" s="14" t="inlineStr"/>
      <c r="M21" s="14" t="inlineStr"/>
    </row>
    <row r="22">
      <c r="A22" s="14" t="inlineStr">
        <is>
          <t>AI, Computing &amp; Software</t>
        </is>
      </c>
      <c r="B22" s="15" t="inlineStr">
        <is>
          <t>IEEE Computer Graphics and Applications</t>
        </is>
      </c>
      <c r="C22" s="14" t="inlineStr">
        <is>
          <t>CG&amp;A</t>
        </is>
      </c>
      <c r="D22" s="14" t="inlineStr">
        <is>
          <t>Magazine</t>
        </is>
      </c>
      <c r="E22" s="14" t="inlineStr">
        <is>
          <t>Hybrid magazine</t>
        </is>
      </c>
      <c r="F22" s="16">
        <f>INDEX('Pricing rules'!$B$4:$B$6,MATCH(E22,'Pricing rules'!$A$4:$A$6,0))</f>
        <v/>
      </c>
      <c r="G22" s="16">
        <f>ROUND(F22*(1-'Pricing rules'!$B$10),0)</f>
        <v/>
      </c>
      <c r="H22" s="14" t="inlineStr">
        <is>
          <t>Free (most articles are invited)</t>
        </is>
      </c>
      <c r="I22" s="14" t="inlineStr">
        <is>
          <t>Not published</t>
        </is>
      </c>
      <c r="J22" s="14" t="inlineStr"/>
      <c r="K22" s="14" t="inlineStr"/>
      <c r="L22" s="14" t="inlineStr"/>
      <c r="M22" s="14" t="inlineStr"/>
    </row>
    <row r="23">
      <c r="A23" s="14" t="inlineStr">
        <is>
          <t>AI, Computing &amp; Software</t>
        </is>
      </c>
      <c r="B23" s="15" t="inlineStr">
        <is>
          <t>IEEE Systems, Man, and Cybernetics Magazine</t>
        </is>
      </c>
      <c r="C23" s="14" t="inlineStr">
        <is>
          <t>SMCM</t>
        </is>
      </c>
      <c r="D23" s="14" t="inlineStr">
        <is>
          <t>Magazine</t>
        </is>
      </c>
      <c r="E23" s="14" t="inlineStr">
        <is>
          <t>Hybrid magazine</t>
        </is>
      </c>
      <c r="F23" s="16">
        <f>INDEX('Pricing rules'!$B$4:$B$6,MATCH(E23,'Pricing rules'!$A$4:$A$6,0))</f>
        <v/>
      </c>
      <c r="G23" s="16">
        <f>ROUND(F23*(1-'Pricing rules'!$B$10),0)</f>
        <v/>
      </c>
      <c r="H23" s="14" t="inlineStr">
        <is>
          <t>Free (most articles are invited)</t>
        </is>
      </c>
      <c r="I23" s="14" t="inlineStr">
        <is>
          <t>Not published</t>
        </is>
      </c>
      <c r="J23" s="14" t="inlineStr"/>
      <c r="K23" s="14" t="inlineStr"/>
      <c r="L23" s="14" t="inlineStr"/>
      <c r="M23" s="14" t="inlineStr"/>
    </row>
    <row r="24">
      <c r="A24" s="14" t="inlineStr">
        <is>
          <t>Antennas, Microwaves &amp; EM</t>
        </is>
      </c>
      <c r="B24" s="15" t="inlineStr">
        <is>
          <t>IEEE Antennas and Propagation Magazine</t>
        </is>
      </c>
      <c r="C24" s="14" t="inlineStr">
        <is>
          <t>APM</t>
        </is>
      </c>
      <c r="D24" s="14" t="inlineStr">
        <is>
          <t>Magazine</t>
        </is>
      </c>
      <c r="E24" s="14" t="inlineStr">
        <is>
          <t>Hybrid magazine</t>
        </is>
      </c>
      <c r="F24" s="16">
        <f>INDEX('Pricing rules'!$B$4:$B$6,MATCH(E24,'Pricing rules'!$A$4:$A$6,0))</f>
        <v/>
      </c>
      <c r="G24" s="16">
        <f>ROUND(F24*(1-'Pricing rules'!$B$10),0)</f>
        <v/>
      </c>
      <c r="H24" s="14" t="inlineStr">
        <is>
          <t>Free (most articles are invited)</t>
        </is>
      </c>
      <c r="I24" s="14" t="inlineStr">
        <is>
          <t>Not published</t>
        </is>
      </c>
      <c r="J24" s="14" t="inlineStr"/>
      <c r="K24" s="14" t="inlineStr"/>
      <c r="L24" s="14" t="inlineStr"/>
      <c r="M24" s="14" t="inlineStr"/>
    </row>
    <row r="25">
      <c r="A25" s="14" t="inlineStr">
        <is>
          <t>Antennas, Microwaves &amp; EM</t>
        </is>
      </c>
      <c r="B25" s="15" t="inlineStr">
        <is>
          <t>IEEE Microwave Magazine</t>
        </is>
      </c>
      <c r="C25" s="14" t="inlineStr">
        <is>
          <t>MMM</t>
        </is>
      </c>
      <c r="D25" s="14" t="inlineStr">
        <is>
          <t>Magazine</t>
        </is>
      </c>
      <c r="E25" s="14" t="inlineStr">
        <is>
          <t>Hybrid magazine</t>
        </is>
      </c>
      <c r="F25" s="16">
        <f>INDEX('Pricing rules'!$B$4:$B$6,MATCH(E25,'Pricing rules'!$A$4:$A$6,0))</f>
        <v/>
      </c>
      <c r="G25" s="16">
        <f>ROUND(F25*(1-'Pricing rules'!$B$10),0)</f>
        <v/>
      </c>
      <c r="H25" s="14" t="inlineStr">
        <is>
          <t>Free (most articles are invited)</t>
        </is>
      </c>
      <c r="I25" s="14" t="inlineStr">
        <is>
          <t>Not published</t>
        </is>
      </c>
      <c r="J25" s="14" t="inlineStr"/>
      <c r="K25" s="14" t="inlineStr"/>
      <c r="L25" s="14" t="inlineStr"/>
      <c r="M25" s="14" t="inlineStr"/>
    </row>
    <row r="26">
      <c r="A26" s="14" t="inlineStr">
        <is>
          <t>Antennas, Microwaves &amp; EM</t>
        </is>
      </c>
      <c r="B26" s="15" t="inlineStr">
        <is>
          <t>IEEE Electromagnetic Compatibility Magazine</t>
        </is>
      </c>
      <c r="C26" s="14" t="inlineStr">
        <is>
          <t>EMCM</t>
        </is>
      </c>
      <c r="D26" s="14" t="inlineStr">
        <is>
          <t>Magazine</t>
        </is>
      </c>
      <c r="E26" s="14" t="inlineStr">
        <is>
          <t>Hybrid magazine</t>
        </is>
      </c>
      <c r="F26" s="16">
        <f>INDEX('Pricing rules'!$B$4:$B$6,MATCH(E26,'Pricing rules'!$A$4:$A$6,0))</f>
        <v/>
      </c>
      <c r="G26" s="16">
        <f>ROUND(F26*(1-'Pricing rules'!$B$10),0)</f>
        <v/>
      </c>
      <c r="H26" s="14" t="inlineStr">
        <is>
          <t>Free (most articles are invited)</t>
        </is>
      </c>
      <c r="I26" s="14" t="inlineStr">
        <is>
          <t>Not published</t>
        </is>
      </c>
      <c r="J26" s="14" t="inlineStr"/>
      <c r="K26" s="14" t="inlineStr"/>
      <c r="L26" s="14" t="inlineStr"/>
      <c r="M26" s="14" t="inlineStr"/>
    </row>
    <row r="27">
      <c r="A27" s="14" t="inlineStr">
        <is>
          <t>Geoscience, Remote Sensing &amp; Ocean</t>
        </is>
      </c>
      <c r="B27" s="15" t="inlineStr">
        <is>
          <t>IEEE Geoscience and Remote Sensing Magazine</t>
        </is>
      </c>
      <c r="C27" s="14" t="inlineStr">
        <is>
          <t>GRSM</t>
        </is>
      </c>
      <c r="D27" s="14" t="inlineStr">
        <is>
          <t>Magazine</t>
        </is>
      </c>
      <c r="E27" s="14" t="inlineStr">
        <is>
          <t>Hybrid magazine</t>
        </is>
      </c>
      <c r="F27" s="16">
        <f>INDEX('Pricing rules'!$B$4:$B$6,MATCH(E27,'Pricing rules'!$A$4:$A$6,0))</f>
        <v/>
      </c>
      <c r="G27" s="16">
        <f>ROUND(F27*(1-'Pricing rules'!$B$10),0)</f>
        <v/>
      </c>
      <c r="H27" s="14" t="inlineStr">
        <is>
          <t>Free (most articles are invited)</t>
        </is>
      </c>
      <c r="I27" s="14" t="inlineStr">
        <is>
          <t>Not published</t>
        </is>
      </c>
      <c r="J27" s="14" t="inlineStr"/>
      <c r="K27" s="14" t="inlineStr"/>
      <c r="L27" s="14" t="inlineStr"/>
      <c r="M27" s="14" t="inlineStr"/>
    </row>
    <row r="28">
      <c r="A28" s="14" t="inlineStr">
        <is>
          <t>Circuits, Devices &amp; Semiconductors</t>
        </is>
      </c>
      <c r="B28" s="15" t="inlineStr">
        <is>
          <t>IEEE Circuits and Systems Magazine</t>
        </is>
      </c>
      <c r="C28" s="14" t="inlineStr">
        <is>
          <t>CASM</t>
        </is>
      </c>
      <c r="D28" s="14" t="inlineStr">
        <is>
          <t>Magazine</t>
        </is>
      </c>
      <c r="E28" s="14" t="inlineStr">
        <is>
          <t>Hybrid magazine</t>
        </is>
      </c>
      <c r="F28" s="16">
        <f>INDEX('Pricing rules'!$B$4:$B$6,MATCH(E28,'Pricing rules'!$A$4:$A$6,0))</f>
        <v/>
      </c>
      <c r="G28" s="16">
        <f>ROUND(F28*(1-'Pricing rules'!$B$10),0)</f>
        <v/>
      </c>
      <c r="H28" s="14" t="inlineStr">
        <is>
          <t>Free (most articles are invited)</t>
        </is>
      </c>
      <c r="I28" s="14" t="inlineStr">
        <is>
          <t>Not published</t>
        </is>
      </c>
      <c r="J28" s="14" t="inlineStr"/>
      <c r="K28" s="14" t="inlineStr"/>
      <c r="L28" s="14" t="inlineStr"/>
      <c r="M28" s="14" t="inlineStr"/>
    </row>
    <row r="29">
      <c r="A29" s="14" t="inlineStr">
        <is>
          <t>Circuits, Devices &amp; Semiconductors</t>
        </is>
      </c>
      <c r="B29" s="15" t="inlineStr">
        <is>
          <t>IEEE Solid-State Circuits Magazine</t>
        </is>
      </c>
      <c r="C29" s="14" t="inlineStr">
        <is>
          <t>SSCM</t>
        </is>
      </c>
      <c r="D29" s="14" t="inlineStr">
        <is>
          <t>Magazine</t>
        </is>
      </c>
      <c r="E29" s="14" t="inlineStr">
        <is>
          <t>Hybrid magazine</t>
        </is>
      </c>
      <c r="F29" s="16">
        <f>INDEX('Pricing rules'!$B$4:$B$6,MATCH(E29,'Pricing rules'!$A$4:$A$6,0))</f>
        <v/>
      </c>
      <c r="G29" s="16">
        <f>ROUND(F29*(1-'Pricing rules'!$B$10),0)</f>
        <v/>
      </c>
      <c r="H29" s="14" t="inlineStr">
        <is>
          <t>Free (most articles are invited)</t>
        </is>
      </c>
      <c r="I29" s="14" t="inlineStr">
        <is>
          <t>Not published</t>
        </is>
      </c>
      <c r="J29" s="14" t="inlineStr"/>
      <c r="K29" s="14" t="inlineStr"/>
      <c r="L29" s="14" t="inlineStr"/>
      <c r="M29" s="14" t="inlineStr"/>
    </row>
    <row r="30">
      <c r="A30" s="14" t="inlineStr">
        <is>
          <t>Circuits, Devices &amp; Semiconductors</t>
        </is>
      </c>
      <c r="B30" s="15" t="inlineStr">
        <is>
          <t>IEEE Nanotechnology Magazine</t>
        </is>
      </c>
      <c r="C30" s="14" t="inlineStr">
        <is>
          <t>NANOM</t>
        </is>
      </c>
      <c r="D30" s="14" t="inlineStr">
        <is>
          <t>Magazine</t>
        </is>
      </c>
      <c r="E30" s="14" t="inlineStr">
        <is>
          <t>Hybrid magazine</t>
        </is>
      </c>
      <c r="F30" s="16">
        <f>INDEX('Pricing rules'!$B$4:$B$6,MATCH(E30,'Pricing rules'!$A$4:$A$6,0))</f>
        <v/>
      </c>
      <c r="G30" s="16">
        <f>ROUND(F30*(1-'Pricing rules'!$B$10),0)</f>
        <v/>
      </c>
      <c r="H30" s="14" t="inlineStr">
        <is>
          <t>Free (most articles are invited)</t>
        </is>
      </c>
      <c r="I30" s="14" t="inlineStr">
        <is>
          <t>Not published</t>
        </is>
      </c>
      <c r="J30" s="14" t="inlineStr"/>
      <c r="K30" s="14" t="inlineStr"/>
      <c r="L30" s="14" t="inlineStr"/>
      <c r="M30" s="14" t="inlineStr"/>
    </row>
    <row r="31">
      <c r="A31" s="14" t="inlineStr">
        <is>
          <t>Circuits, Devices &amp; Semiconductors</t>
        </is>
      </c>
      <c r="B31" s="15" t="inlineStr">
        <is>
          <t>IEEE Design &amp; Test</t>
        </is>
      </c>
      <c r="C31" s="14" t="inlineStr">
        <is>
          <t>D&amp;T</t>
        </is>
      </c>
      <c r="D31" s="14" t="inlineStr">
        <is>
          <t>Magazine</t>
        </is>
      </c>
      <c r="E31" s="14" t="inlineStr">
        <is>
          <t>Hybrid magazine</t>
        </is>
      </c>
      <c r="F31" s="16">
        <f>INDEX('Pricing rules'!$B$4:$B$6,MATCH(E31,'Pricing rules'!$A$4:$A$6,0))</f>
        <v/>
      </c>
      <c r="G31" s="16">
        <f>ROUND(F31*(1-'Pricing rules'!$B$10),0)</f>
        <v/>
      </c>
      <c r="H31" s="14" t="inlineStr">
        <is>
          <t>Free (most articles are invited)</t>
        </is>
      </c>
      <c r="I31" s="14" t="inlineStr">
        <is>
          <t>Not published</t>
        </is>
      </c>
      <c r="J31" s="14" t="inlineStr"/>
      <c r="K31" s="14" t="inlineStr"/>
      <c r="L31" s="14" t="inlineStr"/>
      <c r="M31" s="14" t="inlineStr"/>
    </row>
    <row r="32">
      <c r="A32" s="14" t="inlineStr">
        <is>
          <t>Power, Energy &amp; Industrial Electronics</t>
        </is>
      </c>
      <c r="B32" s="15" t="inlineStr">
        <is>
          <t>IEEE Power and Energy Magazine</t>
        </is>
      </c>
      <c r="C32" s="14" t="inlineStr">
        <is>
          <t>PEM</t>
        </is>
      </c>
      <c r="D32" s="14" t="inlineStr">
        <is>
          <t>Magazine</t>
        </is>
      </c>
      <c r="E32" s="14" t="inlineStr">
        <is>
          <t>Hybrid magazine</t>
        </is>
      </c>
      <c r="F32" s="16">
        <f>INDEX('Pricing rules'!$B$4:$B$6,MATCH(E32,'Pricing rules'!$A$4:$A$6,0))</f>
        <v/>
      </c>
      <c r="G32" s="16">
        <f>ROUND(F32*(1-'Pricing rules'!$B$10),0)</f>
        <v/>
      </c>
      <c r="H32" s="14" t="inlineStr">
        <is>
          <t>Free (most articles are invited)</t>
        </is>
      </c>
      <c r="I32" s="14" t="inlineStr">
        <is>
          <t>Not published</t>
        </is>
      </c>
      <c r="J32" s="14" t="inlineStr"/>
      <c r="K32" s="14" t="inlineStr"/>
      <c r="L32" s="14" t="inlineStr"/>
      <c r="M32" s="14" t="inlineStr"/>
    </row>
    <row r="33">
      <c r="A33" s="14" t="inlineStr">
        <is>
          <t>Power, Energy &amp; Industrial Electronics</t>
        </is>
      </c>
      <c r="B33" s="15" t="inlineStr">
        <is>
          <t>IEEE Electrification Magazine</t>
        </is>
      </c>
      <c r="C33" s="14" t="inlineStr">
        <is>
          <t>ELECM</t>
        </is>
      </c>
      <c r="D33" s="14" t="inlineStr">
        <is>
          <t>Magazine</t>
        </is>
      </c>
      <c r="E33" s="14" t="inlineStr">
        <is>
          <t>Hybrid magazine</t>
        </is>
      </c>
      <c r="F33" s="16">
        <f>INDEX('Pricing rules'!$B$4:$B$6,MATCH(E33,'Pricing rules'!$A$4:$A$6,0))</f>
        <v/>
      </c>
      <c r="G33" s="16">
        <f>ROUND(F33*(1-'Pricing rules'!$B$10),0)</f>
        <v/>
      </c>
      <c r="H33" s="14" t="inlineStr">
        <is>
          <t>Free (most articles are invited)</t>
        </is>
      </c>
      <c r="I33" s="14" t="inlineStr">
        <is>
          <t>Not published</t>
        </is>
      </c>
      <c r="J33" s="14" t="inlineStr"/>
      <c r="K33" s="14" t="inlineStr"/>
      <c r="L33" s="14" t="inlineStr"/>
      <c r="M33" s="14" t="inlineStr"/>
    </row>
    <row r="34">
      <c r="A34" s="14" t="inlineStr">
        <is>
          <t>Power, Energy &amp; Industrial Electronics</t>
        </is>
      </c>
      <c r="B34" s="15" t="inlineStr">
        <is>
          <t>IEEE Power Electronics Magazine</t>
        </is>
      </c>
      <c r="C34" s="14" t="inlineStr">
        <is>
          <t>PELM</t>
        </is>
      </c>
      <c r="D34" s="14" t="inlineStr">
        <is>
          <t>Magazine</t>
        </is>
      </c>
      <c r="E34" s="14" t="inlineStr">
        <is>
          <t>Hybrid magazine</t>
        </is>
      </c>
      <c r="F34" s="16">
        <f>INDEX('Pricing rules'!$B$4:$B$6,MATCH(E34,'Pricing rules'!$A$4:$A$6,0))</f>
        <v/>
      </c>
      <c r="G34" s="16">
        <f>ROUND(F34*(1-'Pricing rules'!$B$10),0)</f>
        <v/>
      </c>
      <c r="H34" s="14" t="inlineStr">
        <is>
          <t>Free (most articles are invited)</t>
        </is>
      </c>
      <c r="I34" s="14" t="inlineStr">
        <is>
          <t>Not published</t>
        </is>
      </c>
      <c r="J34" s="14" t="inlineStr"/>
      <c r="K34" s="14" t="inlineStr"/>
      <c r="L34" s="14" t="inlineStr"/>
      <c r="M34" s="14" t="inlineStr"/>
    </row>
    <row r="35">
      <c r="A35" s="14" t="inlineStr">
        <is>
          <t>Power, Energy &amp; Industrial Electronics</t>
        </is>
      </c>
      <c r="B35" s="15" t="inlineStr">
        <is>
          <t>IEEE Industrial Electronics Magazine</t>
        </is>
      </c>
      <c r="C35" s="14" t="inlineStr">
        <is>
          <t>IEM</t>
        </is>
      </c>
      <c r="D35" s="14" t="inlineStr">
        <is>
          <t>Magazine</t>
        </is>
      </c>
      <c r="E35" s="14" t="inlineStr">
        <is>
          <t>Hybrid magazine</t>
        </is>
      </c>
      <c r="F35" s="16">
        <f>INDEX('Pricing rules'!$B$4:$B$6,MATCH(E35,'Pricing rules'!$A$4:$A$6,0))</f>
        <v/>
      </c>
      <c r="G35" s="16">
        <f>ROUND(F35*(1-'Pricing rules'!$B$10),0)</f>
        <v/>
      </c>
      <c r="H35" s="14" t="inlineStr">
        <is>
          <t>Free (most articles are invited)</t>
        </is>
      </c>
      <c r="I35" s="14" t="inlineStr">
        <is>
          <t>Not published</t>
        </is>
      </c>
      <c r="J35" s="14" t="inlineStr"/>
      <c r="K35" s="14" t="inlineStr"/>
      <c r="L35" s="14" t="inlineStr"/>
      <c r="M35" s="14" t="inlineStr"/>
    </row>
    <row r="36">
      <c r="A36" s="14" t="inlineStr">
        <is>
          <t>Power, Energy &amp; Industrial Electronics</t>
        </is>
      </c>
      <c r="B36" s="15" t="inlineStr">
        <is>
          <t>IEEE Industry Applications Magazine</t>
        </is>
      </c>
      <c r="C36" s="14" t="inlineStr">
        <is>
          <t>IAM</t>
        </is>
      </c>
      <c r="D36" s="14" t="inlineStr">
        <is>
          <t>Magazine</t>
        </is>
      </c>
      <c r="E36" s="14" t="inlineStr">
        <is>
          <t>Hybrid magazine</t>
        </is>
      </c>
      <c r="F36" s="16">
        <f>INDEX('Pricing rules'!$B$4:$B$6,MATCH(E36,'Pricing rules'!$A$4:$A$6,0))</f>
        <v/>
      </c>
      <c r="G36" s="16">
        <f>ROUND(F36*(1-'Pricing rules'!$B$10),0)</f>
        <v/>
      </c>
      <c r="H36" s="14" t="inlineStr">
        <is>
          <t>Free (most articles are invited)</t>
        </is>
      </c>
      <c r="I36" s="14" t="inlineStr">
        <is>
          <t>Not published</t>
        </is>
      </c>
      <c r="J36" s="14" t="inlineStr"/>
      <c r="K36" s="14" t="inlineStr"/>
      <c r="L36" s="14" t="inlineStr"/>
      <c r="M36" s="14" t="inlineStr"/>
    </row>
    <row r="37">
      <c r="A37" s="14" t="inlineStr">
        <is>
          <t>Power, Energy &amp; Industrial Electronics</t>
        </is>
      </c>
      <c r="B37" s="15" t="inlineStr">
        <is>
          <t>IEEE Electrical Insulation Magazine</t>
        </is>
      </c>
      <c r="C37" s="14" t="inlineStr">
        <is>
          <t>EIM</t>
        </is>
      </c>
      <c r="D37" s="14" t="inlineStr">
        <is>
          <t>Magazine</t>
        </is>
      </c>
      <c r="E37" s="14" t="inlineStr">
        <is>
          <t>Hybrid magazine</t>
        </is>
      </c>
      <c r="F37" s="16">
        <f>INDEX('Pricing rules'!$B$4:$B$6,MATCH(E37,'Pricing rules'!$A$4:$A$6,0))</f>
        <v/>
      </c>
      <c r="G37" s="16">
        <f>ROUND(F37*(1-'Pricing rules'!$B$10),0)</f>
        <v/>
      </c>
      <c r="H37" s="14" t="inlineStr">
        <is>
          <t>Free (most articles are invited)</t>
        </is>
      </c>
      <c r="I37" s="14" t="inlineStr">
        <is>
          <t>Not published</t>
        </is>
      </c>
      <c r="J37" s="14" t="inlineStr"/>
      <c r="K37" s="14" t="inlineStr"/>
      <c r="L37" s="14" t="inlineStr"/>
      <c r="M37" s="14" t="inlineStr"/>
    </row>
    <row r="38">
      <c r="A38" s="14" t="inlineStr">
        <is>
          <t>Control, Robotics &amp; Systems</t>
        </is>
      </c>
      <c r="B38" s="15" t="inlineStr">
        <is>
          <t>IEEE Control Systems Magazine</t>
        </is>
      </c>
      <c r="C38" s="14" t="inlineStr">
        <is>
          <t>CSM</t>
        </is>
      </c>
      <c r="D38" s="14" t="inlineStr">
        <is>
          <t>Magazine</t>
        </is>
      </c>
      <c r="E38" s="14" t="inlineStr">
        <is>
          <t>Hybrid magazine</t>
        </is>
      </c>
      <c r="F38" s="16">
        <f>INDEX('Pricing rules'!$B$4:$B$6,MATCH(E38,'Pricing rules'!$A$4:$A$6,0))</f>
        <v/>
      </c>
      <c r="G38" s="16">
        <f>ROUND(F38*(1-'Pricing rules'!$B$10),0)</f>
        <v/>
      </c>
      <c r="H38" s="14" t="inlineStr">
        <is>
          <t>Free (most articles are invited)</t>
        </is>
      </c>
      <c r="I38" s="14" t="inlineStr">
        <is>
          <t>Not published</t>
        </is>
      </c>
      <c r="J38" s="14" t="inlineStr"/>
      <c r="K38" s="14" t="inlineStr"/>
      <c r="L38" s="14" t="inlineStr"/>
      <c r="M38" s="14" t="inlineStr"/>
    </row>
    <row r="39">
      <c r="A39" s="14" t="inlineStr">
        <is>
          <t>Control, Robotics &amp; Systems</t>
        </is>
      </c>
      <c r="B39" s="15" t="inlineStr">
        <is>
          <t>IEEE Robotics &amp; Automation Magazine</t>
        </is>
      </c>
      <c r="C39" s="14" t="inlineStr">
        <is>
          <t>RAM</t>
        </is>
      </c>
      <c r="D39" s="14" t="inlineStr">
        <is>
          <t>Magazine</t>
        </is>
      </c>
      <c r="E39" s="14" t="inlineStr">
        <is>
          <t>Hybrid magazine</t>
        </is>
      </c>
      <c r="F39" s="16">
        <f>INDEX('Pricing rules'!$B$4:$B$6,MATCH(E39,'Pricing rules'!$A$4:$A$6,0))</f>
        <v/>
      </c>
      <c r="G39" s="16">
        <f>ROUND(F39*(1-'Pricing rules'!$B$10),0)</f>
        <v/>
      </c>
      <c r="H39" s="14" t="inlineStr">
        <is>
          <t>Free (most articles are invited)</t>
        </is>
      </c>
      <c r="I39" s="14" t="inlineStr">
        <is>
          <t>Not published</t>
        </is>
      </c>
      <c r="J39" s="14" t="inlineStr"/>
      <c r="K39" s="14" t="inlineStr"/>
      <c r="L39" s="14" t="inlineStr"/>
      <c r="M39" s="14" t="inlineStr"/>
    </row>
    <row r="40">
      <c r="A40" s="14" t="inlineStr">
        <is>
          <t>Instrumentation, Sensors &amp; Measurement</t>
        </is>
      </c>
      <c r="B40" s="15" t="inlineStr">
        <is>
          <t>IEEE Instrumentation &amp; Measurement Magazine</t>
        </is>
      </c>
      <c r="C40" s="14" t="inlineStr">
        <is>
          <t>IMM</t>
        </is>
      </c>
      <c r="D40" s="14" t="inlineStr">
        <is>
          <t>Magazine</t>
        </is>
      </c>
      <c r="E40" s="14" t="inlineStr">
        <is>
          <t>Hybrid magazine</t>
        </is>
      </c>
      <c r="F40" s="16">
        <f>INDEX('Pricing rules'!$B$4:$B$6,MATCH(E40,'Pricing rules'!$A$4:$A$6,0))</f>
        <v/>
      </c>
      <c r="G40" s="16">
        <f>ROUND(F40*(1-'Pricing rules'!$B$10),0)</f>
        <v/>
      </c>
      <c r="H40" s="14" t="inlineStr">
        <is>
          <t>Free (most articles are invited)</t>
        </is>
      </c>
      <c r="I40" s="14" t="inlineStr">
        <is>
          <t>Not published</t>
        </is>
      </c>
      <c r="J40" s="14" t="inlineStr"/>
      <c r="K40" s="14" t="inlineStr"/>
      <c r="L40" s="14" t="inlineStr"/>
      <c r="M40" s="14" t="inlineStr"/>
    </row>
    <row r="41">
      <c r="A41" s="14" t="inlineStr">
        <is>
          <t>Biomedical &amp; Health</t>
        </is>
      </c>
      <c r="B41" s="15" t="inlineStr">
        <is>
          <t>IEEE Pulse</t>
        </is>
      </c>
      <c r="C41" s="14" t="inlineStr">
        <is>
          <t>PULSE</t>
        </is>
      </c>
      <c r="D41" s="14" t="inlineStr">
        <is>
          <t>Magazine</t>
        </is>
      </c>
      <c r="E41" s="14" t="inlineStr">
        <is>
          <t>Hybrid magazine</t>
        </is>
      </c>
      <c r="F41" s="16">
        <f>INDEX('Pricing rules'!$B$4:$B$6,MATCH(E41,'Pricing rules'!$A$4:$A$6,0))</f>
        <v/>
      </c>
      <c r="G41" s="16">
        <f>ROUND(F41*(1-'Pricing rules'!$B$10),0)</f>
        <v/>
      </c>
      <c r="H41" s="14" t="inlineStr">
        <is>
          <t>Free (most articles are invited)</t>
        </is>
      </c>
      <c r="I41" s="14" t="inlineStr">
        <is>
          <t>Not published</t>
        </is>
      </c>
      <c r="J41" s="14" t="inlineStr"/>
      <c r="K41" s="14" t="inlineStr"/>
      <c r="L41" s="14" t="inlineStr"/>
      <c r="M41" s="14" t="inlineStr"/>
    </row>
    <row r="42">
      <c r="A42" s="14" t="inlineStr">
        <is>
          <t>Multidisciplinary, Education &amp; Society</t>
        </is>
      </c>
      <c r="B42" s="15" t="inlineStr">
        <is>
          <t>IEEE Technology and Society Magazine</t>
        </is>
      </c>
      <c r="C42" s="14" t="inlineStr">
        <is>
          <t>TSM-MAG</t>
        </is>
      </c>
      <c r="D42" s="14" t="inlineStr">
        <is>
          <t>Magazine</t>
        </is>
      </c>
      <c r="E42" s="14" t="inlineStr">
        <is>
          <t>Hybrid magazine</t>
        </is>
      </c>
      <c r="F42" s="16">
        <f>INDEX('Pricing rules'!$B$4:$B$6,MATCH(E42,'Pricing rules'!$A$4:$A$6,0))</f>
        <v/>
      </c>
      <c r="G42" s="16">
        <f>ROUND(F42*(1-'Pricing rules'!$B$10),0)</f>
        <v/>
      </c>
      <c r="H42" s="14" t="inlineStr">
        <is>
          <t>Free (most articles are invited)</t>
        </is>
      </c>
      <c r="I42" s="14" t="inlineStr">
        <is>
          <t>Not published</t>
        </is>
      </c>
      <c r="J42" s="14" t="inlineStr"/>
      <c r="K42" s="14" t="inlineStr"/>
      <c r="L42" s="14" t="inlineStr"/>
      <c r="M42" s="14" t="inlineStr"/>
    </row>
    <row r="43">
      <c r="A43" s="14" t="inlineStr">
        <is>
          <t>Multidisciplinary, Education &amp; Society</t>
        </is>
      </c>
      <c r="B43" s="15" t="inlineStr">
        <is>
          <t>IEEE Consumer Electronics Magazine</t>
        </is>
      </c>
      <c r="C43" s="14" t="inlineStr">
        <is>
          <t>CEM</t>
        </is>
      </c>
      <c r="D43" s="14" t="inlineStr">
        <is>
          <t>Magazine</t>
        </is>
      </c>
      <c r="E43" s="14" t="inlineStr">
        <is>
          <t>Hybrid magazine</t>
        </is>
      </c>
      <c r="F43" s="16">
        <f>INDEX('Pricing rules'!$B$4:$B$6,MATCH(E43,'Pricing rules'!$A$4:$A$6,0))</f>
        <v/>
      </c>
      <c r="G43" s="16">
        <f>ROUND(F43*(1-'Pricing rules'!$B$10),0)</f>
        <v/>
      </c>
      <c r="H43" s="14" t="inlineStr">
        <is>
          <t>Free (most articles are invited)</t>
        </is>
      </c>
      <c r="I43" s="14" t="inlineStr">
        <is>
          <t>Not published</t>
        </is>
      </c>
      <c r="J43" s="14" t="inlineStr"/>
      <c r="K43" s="14" t="inlineStr"/>
      <c r="L43" s="14" t="inlineStr"/>
      <c r="M43" s="14" t="inlineStr"/>
    </row>
    <row r="44">
      <c r="A44" s="14" t="inlineStr">
        <is>
          <t>Multidisciplinary, Education &amp; Society</t>
        </is>
      </c>
      <c r="B44" s="15" t="inlineStr">
        <is>
          <t>IEEE Engineering Management Review</t>
        </is>
      </c>
      <c r="C44" s="14" t="inlineStr">
        <is>
          <t>EMR</t>
        </is>
      </c>
      <c r="D44" s="14" t="inlineStr">
        <is>
          <t>Magazine</t>
        </is>
      </c>
      <c r="E44" s="14" t="inlineStr">
        <is>
          <t>Hybrid magazine</t>
        </is>
      </c>
      <c r="F44" s="16">
        <f>INDEX('Pricing rules'!$B$4:$B$6,MATCH(E44,'Pricing rules'!$A$4:$A$6,0))</f>
        <v/>
      </c>
      <c r="G44" s="16">
        <f>ROUND(F44*(1-'Pricing rules'!$B$10),0)</f>
        <v/>
      </c>
      <c r="H44" s="14" t="inlineStr">
        <is>
          <t>Free (most articles are invited)</t>
        </is>
      </c>
      <c r="I44" s="14" t="inlineStr">
        <is>
          <t>Not published</t>
        </is>
      </c>
      <c r="J44" s="14" t="inlineStr"/>
      <c r="K44" s="14" t="inlineStr"/>
      <c r="L44" s="14" t="inlineStr"/>
      <c r="M44" s="1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ieee-conference-deadlines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